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cortes/Documents/"/>
    </mc:Choice>
  </mc:AlternateContent>
  <xr:revisionPtr revIDLastSave="0" documentId="13_ncr:1_{10D2A365-6468-D444-B10B-70D64C438EFA}" xr6:coauthVersionLast="47" xr6:coauthVersionMax="47" xr10:uidLastSave="{00000000-0000-0000-0000-000000000000}"/>
  <bookViews>
    <workbookView xWindow="4040" yWindow="2980" windowWidth="48340" windowHeight="24700" activeTab="3" xr2:uid="{F495D487-9032-6C46-86E5-FE826CCE4781}"/>
  </bookViews>
  <sheets>
    <sheet name="Resumen" sheetId="5" r:id="rId1"/>
    <sheet name="Precios" sheetId="1" r:id="rId2"/>
    <sheet name="Gastos" sheetId="2" r:id="rId3"/>
    <sheet name="Ventas" sheetId="3" r:id="rId4"/>
    <sheet name="Ganancias" sheetId="4" r:id="rId5"/>
    <sheet name="ChartData" sheetId="7" state="hidden" r:id="rId6"/>
  </sheets>
  <definedNames>
    <definedName name="_xlnm._FilterDatabase" localSheetId="2" hidden="1">Gastos!$A$3:$F$24</definedName>
    <definedName name="_xlnm._FilterDatabase" localSheetId="1" hidden="1">Precios!$A$3:$E$24</definedName>
    <definedName name="_xlnm._FilterDatabase" localSheetId="3" hidden="1">Ventas!$A$3:$I$24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" l="1"/>
  <c r="E35" i="5"/>
  <c r="K11" i="5"/>
  <c r="H11" i="5"/>
  <c r="A2" i="5"/>
  <c r="J31" i="4"/>
  <c r="I31" i="4"/>
  <c r="C31" i="4"/>
  <c r="F38" i="5" s="1"/>
  <c r="B31" i="4"/>
  <c r="E38" i="5" s="1"/>
  <c r="J30" i="4"/>
  <c r="I30" i="4"/>
  <c r="C30" i="4"/>
  <c r="F37" i="5" s="1"/>
  <c r="B30" i="4"/>
  <c r="J29" i="4"/>
  <c r="I29" i="4"/>
  <c r="C29" i="4"/>
  <c r="H29" i="4" s="1"/>
  <c r="B29" i="4"/>
  <c r="E36" i="5" s="1"/>
  <c r="J28" i="4"/>
  <c r="I28" i="4"/>
  <c r="C28" i="4"/>
  <c r="H28" i="4" s="1"/>
  <c r="B28" i="4"/>
  <c r="J27" i="4"/>
  <c r="I27" i="4"/>
  <c r="C27" i="4"/>
  <c r="F34" i="5" s="1"/>
  <c r="B27" i="4"/>
  <c r="E34" i="5" s="1"/>
  <c r="J26" i="4"/>
  <c r="I26" i="4"/>
  <c r="C26" i="4"/>
  <c r="H26" i="4" s="1"/>
  <c r="B26" i="4"/>
  <c r="E33" i="5" s="1"/>
  <c r="J25" i="4"/>
  <c r="I25" i="4"/>
  <c r="C25" i="4"/>
  <c r="F32" i="5" s="1"/>
  <c r="B25" i="4"/>
  <c r="E32" i="5" s="1"/>
  <c r="J24" i="4"/>
  <c r="I24" i="4"/>
  <c r="C24" i="4"/>
  <c r="D24" i="4" s="1"/>
  <c r="E24" i="4" s="1"/>
  <c r="D31" i="5" s="1"/>
  <c r="B24" i="4"/>
  <c r="E31" i="5" s="1"/>
  <c r="J23" i="4"/>
  <c r="I23" i="4"/>
  <c r="C23" i="4"/>
  <c r="F30" i="5" s="1"/>
  <c r="B23" i="4"/>
  <c r="E30" i="5" s="1"/>
  <c r="J22" i="4"/>
  <c r="I22" i="4"/>
  <c r="C22" i="4"/>
  <c r="F29" i="5" s="1"/>
  <c r="B22" i="4"/>
  <c r="E29" i="5" s="1"/>
  <c r="J21" i="4"/>
  <c r="I21" i="4"/>
  <c r="C21" i="4"/>
  <c r="H21" i="4" s="1"/>
  <c r="B21" i="4"/>
  <c r="E28" i="5" s="1"/>
  <c r="J20" i="4"/>
  <c r="I20" i="4"/>
  <c r="C20" i="4"/>
  <c r="H20" i="4" s="1"/>
  <c r="B20" i="4"/>
  <c r="E27" i="5" s="1"/>
  <c r="J19" i="4"/>
  <c r="I19" i="4"/>
  <c r="C19" i="4"/>
  <c r="F26" i="5" s="1"/>
  <c r="B19" i="4"/>
  <c r="E26" i="5" s="1"/>
  <c r="J18" i="4"/>
  <c r="I18" i="4"/>
  <c r="C18" i="4"/>
  <c r="F25" i="5" s="1"/>
  <c r="B18" i="4"/>
  <c r="E25" i="5" s="1"/>
  <c r="J17" i="4"/>
  <c r="I17" i="4"/>
  <c r="C17" i="4"/>
  <c r="F24" i="5" s="1"/>
  <c r="B17" i="4"/>
  <c r="E24" i="5" s="1"/>
  <c r="J16" i="4"/>
  <c r="I16" i="4"/>
  <c r="C16" i="4"/>
  <c r="B16" i="4"/>
  <c r="E23" i="5" s="1"/>
  <c r="J15" i="4"/>
  <c r="I15" i="4"/>
  <c r="C15" i="4"/>
  <c r="H15" i="4" s="1"/>
  <c r="B15" i="4"/>
  <c r="J14" i="4"/>
  <c r="I14" i="4"/>
  <c r="C14" i="4"/>
  <c r="F21" i="5" s="1"/>
  <c r="B14" i="4"/>
  <c r="E21" i="5" s="1"/>
  <c r="J13" i="4"/>
  <c r="I13" i="4"/>
  <c r="C13" i="4"/>
  <c r="F20" i="5" s="1"/>
  <c r="B13" i="4"/>
  <c r="E20" i="5" s="1"/>
  <c r="J12" i="4"/>
  <c r="C12" i="4"/>
  <c r="F19" i="5" s="1"/>
  <c r="B12" i="4"/>
  <c r="E19" i="5" s="1"/>
  <c r="J11" i="4"/>
  <c r="C11" i="4"/>
  <c r="H11" i="4" s="1"/>
  <c r="B11" i="4"/>
  <c r="E18" i="5" s="1"/>
  <c r="E4" i="4"/>
  <c r="H24" i="3"/>
  <c r="G24" i="3"/>
  <c r="F24" i="3"/>
  <c r="H23" i="3"/>
  <c r="G23" i="3"/>
  <c r="F23" i="3"/>
  <c r="E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E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E13" i="3"/>
  <c r="H12" i="3"/>
  <c r="G12" i="3"/>
  <c r="F12" i="3"/>
  <c r="H11" i="3"/>
  <c r="G11" i="3"/>
  <c r="F11" i="3"/>
  <c r="E11" i="3"/>
  <c r="H10" i="3"/>
  <c r="G10" i="3"/>
  <c r="F10" i="3"/>
  <c r="H9" i="3"/>
  <c r="G9" i="3"/>
  <c r="F9" i="3"/>
  <c r="H8" i="3"/>
  <c r="G8" i="3"/>
  <c r="F8" i="3"/>
  <c r="H7" i="3"/>
  <c r="G7" i="3"/>
  <c r="F7" i="3"/>
  <c r="H6" i="3"/>
  <c r="G6" i="3"/>
  <c r="F6" i="3"/>
  <c r="E6" i="3"/>
  <c r="G5" i="3"/>
  <c r="F5" i="3"/>
  <c r="H5" i="3" s="1"/>
  <c r="G4" i="3"/>
  <c r="E30" i="2"/>
  <c r="E24" i="2"/>
  <c r="E4" i="7" s="1"/>
  <c r="E23" i="2"/>
  <c r="B21" i="7" s="1"/>
  <c r="E22" i="2"/>
  <c r="B20" i="7" s="1"/>
  <c r="E21" i="2"/>
  <c r="B19" i="7" s="1"/>
  <c r="E20" i="2"/>
  <c r="B18" i="7" s="1"/>
  <c r="E19" i="2"/>
  <c r="B17" i="7" s="1"/>
  <c r="E18" i="2"/>
  <c r="B16" i="7" s="1"/>
  <c r="E17" i="2"/>
  <c r="B15" i="7" s="1"/>
  <c r="E16" i="2"/>
  <c r="E3" i="7" s="1"/>
  <c r="E15" i="2"/>
  <c r="B13" i="7" s="1"/>
  <c r="E14" i="2"/>
  <c r="B12" i="7" s="1"/>
  <c r="E13" i="2"/>
  <c r="B11" i="7" s="1"/>
  <c r="E12" i="2"/>
  <c r="K20" i="5" s="1"/>
  <c r="E11" i="2"/>
  <c r="B9" i="7" s="1"/>
  <c r="E10" i="2"/>
  <c r="B8" i="7" s="1"/>
  <c r="E9" i="2"/>
  <c r="B7" i="7" s="1"/>
  <c r="E8" i="2"/>
  <c r="B6" i="7" s="1"/>
  <c r="E7" i="2"/>
  <c r="B5" i="7" s="1"/>
  <c r="E6" i="2"/>
  <c r="B4" i="7" s="1"/>
  <c r="E5" i="2"/>
  <c r="B3" i="7" s="1"/>
  <c r="E4" i="2"/>
  <c r="E2" i="7" s="1"/>
  <c r="E24" i="1"/>
  <c r="D24" i="1"/>
  <c r="E24" i="3" s="1"/>
  <c r="E23" i="1"/>
  <c r="D23" i="1"/>
  <c r="E22" i="1"/>
  <c r="D22" i="1"/>
  <c r="E22" i="3" s="1"/>
  <c r="E21" i="1"/>
  <c r="D21" i="1"/>
  <c r="E21" i="3" s="1"/>
  <c r="E20" i="1"/>
  <c r="D20" i="1"/>
  <c r="E20" i="3" s="1"/>
  <c r="E19" i="1"/>
  <c r="D19" i="1"/>
  <c r="E19" i="3" s="1"/>
  <c r="E18" i="1"/>
  <c r="D18" i="1"/>
  <c r="E17" i="1"/>
  <c r="D17" i="1"/>
  <c r="E17" i="3" s="1"/>
  <c r="E16" i="1"/>
  <c r="D16" i="1"/>
  <c r="E16" i="3" s="1"/>
  <c r="E15" i="1"/>
  <c r="D15" i="1"/>
  <c r="E15" i="3" s="1"/>
  <c r="E14" i="1"/>
  <c r="D14" i="1"/>
  <c r="E14" i="3" s="1"/>
  <c r="E13" i="1"/>
  <c r="D13" i="1"/>
  <c r="E12" i="1"/>
  <c r="D12" i="1"/>
  <c r="E12" i="3" s="1"/>
  <c r="E11" i="1"/>
  <c r="D11" i="1"/>
  <c r="E10" i="1"/>
  <c r="D10" i="1"/>
  <c r="E10" i="3" s="1"/>
  <c r="E9" i="1"/>
  <c r="D9" i="1"/>
  <c r="E9" i="3" s="1"/>
  <c r="E8" i="1"/>
  <c r="D8" i="1"/>
  <c r="E8" i="3" s="1"/>
  <c r="E7" i="1"/>
  <c r="D7" i="1"/>
  <c r="E7" i="3" s="1"/>
  <c r="E6" i="1"/>
  <c r="D6" i="1"/>
  <c r="D5" i="1"/>
  <c r="E5" i="3" s="1"/>
  <c r="D4" i="1"/>
  <c r="E4" i="3" s="1"/>
  <c r="F4" i="3" s="1"/>
  <c r="D15" i="4" l="1"/>
  <c r="E15" i="4" s="1"/>
  <c r="D22" i="5" s="1"/>
  <c r="I12" i="4"/>
  <c r="K12" i="4" s="1"/>
  <c r="L12" i="4" s="1"/>
  <c r="H4" i="3"/>
  <c r="I11" i="4"/>
  <c r="K11" i="4" s="1"/>
  <c r="D16" i="4"/>
  <c r="E16" i="4" s="1"/>
  <c r="D23" i="5" s="1"/>
  <c r="E22" i="5"/>
  <c r="E39" i="5" s="1"/>
  <c r="K18" i="5"/>
  <c r="B10" i="7"/>
  <c r="K19" i="5"/>
  <c r="L19" i="5" s="1"/>
  <c r="B14" i="7"/>
  <c r="K21" i="5"/>
  <c r="K22" i="5"/>
  <c r="E27" i="2"/>
  <c r="B32" i="4"/>
  <c r="H23" i="4"/>
  <c r="B2" i="7"/>
  <c r="E29" i="2"/>
  <c r="B4" i="4" s="1"/>
  <c r="B5" i="5" s="1"/>
  <c r="B22" i="7"/>
  <c r="E25" i="2"/>
  <c r="E26" i="2"/>
  <c r="D25" i="4"/>
  <c r="E25" i="4" s="1"/>
  <c r="D32" i="5" s="1"/>
  <c r="H17" i="4"/>
  <c r="H25" i="4"/>
  <c r="H18" i="4"/>
  <c r="D14" i="4"/>
  <c r="E14" i="4" s="1"/>
  <c r="D21" i="5" s="1"/>
  <c r="H14" i="4"/>
  <c r="H19" i="4"/>
  <c r="C32" i="4"/>
  <c r="E11" i="5" s="1"/>
  <c r="D27" i="4"/>
  <c r="E27" i="4" s="1"/>
  <c r="D34" i="5" s="1"/>
  <c r="D22" i="4"/>
  <c r="E22" i="4" s="1"/>
  <c r="D29" i="5" s="1"/>
  <c r="F27" i="5"/>
  <c r="F33" i="5"/>
  <c r="D17" i="4"/>
  <c r="E17" i="4" s="1"/>
  <c r="D24" i="5" s="1"/>
  <c r="H24" i="4"/>
  <c r="H27" i="4"/>
  <c r="D12" i="4"/>
  <c r="E12" i="4" s="1"/>
  <c r="D19" i="5" s="1"/>
  <c r="H22" i="4"/>
  <c r="D30" i="4"/>
  <c r="E30" i="4" s="1"/>
  <c r="D37" i="5" s="1"/>
  <c r="B11" i="5" a="1"/>
  <c r="B11" i="5" s="1"/>
  <c r="F22" i="5"/>
  <c r="F28" i="5"/>
  <c r="H12" i="4"/>
  <c r="D20" i="4"/>
  <c r="E20" i="4" s="1"/>
  <c r="D27" i="5" s="1"/>
  <c r="H30" i="4"/>
  <c r="F23" i="5"/>
  <c r="F35" i="5"/>
  <c r="D28" i="4"/>
  <c r="E28" i="4" s="1"/>
  <c r="D35" i="5" s="1"/>
  <c r="D23" i="4"/>
  <c r="E23" i="4" s="1"/>
  <c r="D30" i="5" s="1"/>
  <c r="D18" i="4"/>
  <c r="E18" i="4" s="1"/>
  <c r="D25" i="5" s="1"/>
  <c r="D31" i="4"/>
  <c r="E31" i="4" s="1"/>
  <c r="D38" i="5" s="1"/>
  <c r="F18" i="5"/>
  <c r="F36" i="5"/>
  <c r="D26" i="4"/>
  <c r="E26" i="4" s="1"/>
  <c r="D33" i="5" s="1"/>
  <c r="D21" i="4"/>
  <c r="E21" i="4" s="1"/>
  <c r="D28" i="5" s="1"/>
  <c r="H31" i="4"/>
  <c r="F31" i="5"/>
  <c r="D11" i="4"/>
  <c r="D29" i="4"/>
  <c r="E29" i="4" s="1"/>
  <c r="D36" i="5" s="1"/>
  <c r="H16" i="4"/>
  <c r="D13" i="4"/>
  <c r="E13" i="4" s="1"/>
  <c r="D20" i="5" s="1"/>
  <c r="H13" i="4"/>
  <c r="D19" i="4"/>
  <c r="E19" i="4" s="1"/>
  <c r="D26" i="5" s="1"/>
  <c r="E5" i="1"/>
  <c r="E4" i="1"/>
  <c r="K23" i="4"/>
  <c r="L23" i="4" s="1"/>
  <c r="K20" i="4"/>
  <c r="L20" i="4" s="1"/>
  <c r="K19" i="4"/>
  <c r="L19" i="4" s="1"/>
  <c r="K17" i="4"/>
  <c r="L17" i="4" s="1"/>
  <c r="K25" i="4"/>
  <c r="L25" i="4" s="1"/>
  <c r="K26" i="4"/>
  <c r="L26" i="4" s="1"/>
  <c r="K30" i="4"/>
  <c r="L30" i="4" s="1"/>
  <c r="K15" i="4"/>
  <c r="L15" i="4" s="1"/>
  <c r="K13" i="4"/>
  <c r="L13" i="4" s="1"/>
  <c r="K29" i="4"/>
  <c r="L29" i="4" s="1"/>
  <c r="K18" i="4"/>
  <c r="L18" i="4" s="1"/>
  <c r="K27" i="4"/>
  <c r="L27" i="4" s="1"/>
  <c r="F26" i="3"/>
  <c r="B5" i="4" s="1"/>
  <c r="K21" i="4"/>
  <c r="L21" i="4" s="1"/>
  <c r="K14" i="4"/>
  <c r="L14" i="4" s="1"/>
  <c r="G26" i="3"/>
  <c r="B7" i="4" s="1"/>
  <c r="K22" i="4"/>
  <c r="L22" i="4" s="1"/>
  <c r="H26" i="3"/>
  <c r="K28" i="4"/>
  <c r="L28" i="4" s="1"/>
  <c r="K31" i="4"/>
  <c r="L31" i="4" s="1"/>
  <c r="K16" i="4"/>
  <c r="L16" i="4" s="1"/>
  <c r="J32" i="4"/>
  <c r="K24" i="4"/>
  <c r="L24" i="4" s="1"/>
  <c r="I32" i="4" l="1"/>
  <c r="L22" i="5"/>
  <c r="L21" i="5"/>
  <c r="L18" i="5"/>
  <c r="L20" i="5"/>
  <c r="H32" i="4"/>
  <c r="E11" i="4"/>
  <c r="D18" i="5" s="1"/>
  <c r="D32" i="4"/>
  <c r="E32" i="4" s="1"/>
  <c r="F39" i="5"/>
  <c r="E5" i="4"/>
  <c r="E5" i="5"/>
  <c r="B6" i="4"/>
  <c r="B8" i="4"/>
  <c r="E7" i="4" s="1"/>
  <c r="K32" i="4"/>
  <c r="L32" i="4" s="1"/>
  <c r="L11" i="4"/>
  <c r="E6" i="4"/>
  <c r="E8" i="4" l="1"/>
  <c r="K5" i="5" s="1"/>
  <c r="H5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<sst xmlns="http://schemas.openxmlformats.org/spreadsheetml/2006/main" count="268" uniqueCount="129">
  <si>
    <t>LISTA DE PRECIOS - PERFUMES</t>
  </si>
  <si>
    <t>Producto</t>
  </si>
  <si>
    <t>Costo ($)</t>
  </si>
  <si>
    <t>Margen (%)</t>
  </si>
  <si>
    <t>Precio de Venta ($)</t>
  </si>
  <si>
    <t>Ganancia por Unidad ($)</t>
  </si>
  <si>
    <t>Azul = ingresa vos el valor    |    Negro/negrita = calculado automaticamente</t>
  </si>
  <si>
    <t>REGISTRO DE COMPRAS - PERFUMES</t>
  </si>
  <si>
    <t>Registra cada compra: fecha, producto, cantidad y monto → el total se calcula automaticamente</t>
  </si>
  <si>
    <t>Fecha</t>
  </si>
  <si>
    <t>Producto / Descripcion</t>
  </si>
  <si>
    <t>Cantidad (unidades)</t>
  </si>
  <si>
    <t>Precio Unit. ($)</t>
  </si>
  <si>
    <t>Total Gastado ($)</t>
  </si>
  <si>
    <t>Notas</t>
  </si>
  <si>
    <t>TOTAL INVERTIDO:</t>
  </si>
  <si>
    <t>TOTAL UNIDADES:</t>
  </si>
  <si>
    <t>REGISTRO DE VENTAS - PERFUMES</t>
  </si>
  <si>
    <t>Cant. Vendida</t>
  </si>
  <si>
    <t>Precio Venta ($)</t>
  </si>
  <si>
    <t>Ingreso Total ($)</t>
  </si>
  <si>
    <t>Costo Total ($)</t>
  </si>
  <si>
    <t>Ganancia Bruta ($)</t>
  </si>
  <si>
    <t>TOTALES (ventas confirmadas):</t>
  </si>
  <si>
    <t>DASHBOARD DE GANANCIAS - PERFUMES</t>
  </si>
  <si>
    <t>Los datos se actualizan automaticamente a medida que confirmas ventas en la hoja Ventas</t>
  </si>
  <si>
    <t>RESUMEN ECONOMICO</t>
  </si>
  <si>
    <t>INDICADORES CLAVE</t>
  </si>
  <si>
    <t>Total Invertido (Compras)</t>
  </si>
  <si>
    <t>Total Ingresos (Ventas)</t>
  </si>
  <si>
    <t>Ganancia Bruta</t>
  </si>
  <si>
    <t>Costo de Ventas (solo lo vendido)</t>
  </si>
  <si>
    <t>Ganancia Neta (Ingresos - Costo Vendido)</t>
  </si>
  <si>
    <t>Unidades Vendidas (confirmadas)</t>
  </si>
  <si>
    <t>Ticket Promedio por Venta</t>
  </si>
  <si>
    <t>Margen Neto %</t>
  </si>
  <si>
    <t>Ganancia Prom. por Unidad</t>
  </si>
  <si>
    <t>ROI sobre inversion</t>
  </si>
  <si>
    <t>DETALLE POR PRODUCTO</t>
  </si>
  <si>
    <t>ESTADO DEL STOCK</t>
  </si>
  <si>
    <t>Comprado</t>
  </si>
  <si>
    <t>Vendido</t>
  </si>
  <si>
    <t>Estado</t>
  </si>
  <si>
    <t>Ingresos ($)</t>
  </si>
  <si>
    <t>Ganancia ($)</t>
  </si>
  <si>
    <t>TOTAL</t>
  </si>
  <si>
    <t>Escribi TRUE para marcar como vendida (☑) o FALSE para desmarcar (☐) → los datos fluyen solos al dashboard de Ganancias</t>
  </si>
  <si>
    <t>☑ Vendido</t>
  </si>
  <si>
    <t>QAED AL FURSAN EDP 90ML HOMBRE</t>
  </si>
  <si>
    <t>ECLAIR EDP 35ML MUJER</t>
  </si>
  <si>
    <t>RAVE NOW EDP 100ML UNISEX</t>
  </si>
  <si>
    <t>HAWAS FOR HIM EDP 100ML HOMBRE</t>
  </si>
  <si>
    <t>AQUATICA EDP 100ML HOMBRE</t>
  </si>
  <si>
    <t>MAS EDP 100ML UNISEX</t>
  </si>
  <si>
    <t>VULCAN FEU EDP 100ML UNISEX</t>
  </si>
  <si>
    <t>ASAD ELIXIR EDP 100ML HOMBRE</t>
  </si>
  <si>
    <t>HAYAATI EDP 100ML HOMBRE</t>
  </si>
  <si>
    <t>MANDARIN SKY EDP 100ML HOMBRE</t>
  </si>
  <si>
    <t>LIQUID BRUN EDP 100ML UNISEX</t>
  </si>
  <si>
    <t>HAWAS ICE EDP 100ML HOMBRE</t>
  </si>
  <si>
    <t>ASAD EDP 30ML HOMBRE</t>
  </si>
  <si>
    <t>OUD FOR GLORY WHITE EDP 30ML UNISEX</t>
  </si>
  <si>
    <t>SCANDAL EDP 25ML HOMBRE</t>
  </si>
  <si>
    <t>SCANDAL WOMEN EDP 30ML MUJER</t>
  </si>
  <si>
    <t>SARA CANDY EDP 30ML MUJER</t>
  </si>
  <si>
    <t>KAMRAH EDP 30ML HOMBRE</t>
  </si>
  <si>
    <t>NOW PINK EDP 30ML MUJER</t>
  </si>
  <si>
    <t>HAYAATI BODY MIST 250ML HOMBRE</t>
  </si>
  <si>
    <t>MUESTRA 5ML UNISEX</t>
  </si>
  <si>
    <t>Amarillo = completar costo y margen    |    Formula: Precio Venta = Costo / (1 - Margen%)</t>
  </si>
  <si>
    <t>Recibo #21395</t>
  </si>
  <si>
    <t>Recibo #21398</t>
  </si>
  <si>
    <t>Recibo #21402</t>
  </si>
  <si>
    <t>TOTAL COMPRAS (recibos):</t>
  </si>
  <si>
    <t>Stock Rest.</t>
  </si>
  <si>
    <t>Vendidas</t>
  </si>
  <si>
    <t>Costo Vend. ($)</t>
  </si>
  <si>
    <t>Margen %</t>
  </si>
  <si>
    <t>🟢 OK = stock disponible   🟡 Stock bajo (≤2 unidades)   🔴 Sin stock   |   Tilda ventas en hoja Ventas → dashboard se actualiza solo</t>
  </si>
  <si>
    <t>Costo cargado del recibo ✔  →  Ahora ingresa el Margen % en col C para ver el Precio de Venta calculado automaticamente</t>
  </si>
  <si>
    <t>Costo de Compra ($)</t>
  </si>
  <si>
    <t>💰  TOTAL INVERTIDO</t>
  </si>
  <si>
    <t>Costo total de compras</t>
  </si>
  <si>
    <t>✅  GANANCIA NETA</t>
  </si>
  <si>
    <t>Ingresos − Costo vendido</t>
  </si>
  <si>
    <t>🎯  ROI</t>
  </si>
  <si>
    <t>UNIDADES EN STOCK</t>
  </si>
  <si>
    <t>UNIDADES VENDIDAS</t>
  </si>
  <si>
    <t>RECIBOS DE COMPRA</t>
  </si>
  <si>
    <t>SCANDAL WOMEN 30ML</t>
  </si>
  <si>
    <t>SARA CANDY 30ML</t>
  </si>
  <si>
    <t>KAMRAH 30ML</t>
  </si>
  <si>
    <t>NOW PINK 30ML</t>
  </si>
  <si>
    <t>MUESTRA 5ML</t>
  </si>
  <si>
    <t>Recibo</t>
  </si>
  <si>
    <t>Total ($)</t>
  </si>
  <si>
    <t>📊  Inversión por Producto</t>
  </si>
  <si>
    <t>🥧  Inversión por Recibo</t>
  </si>
  <si>
    <t xml:space="preserve">   RESUMEN EJECUTIVO — NEGOCIO DE PERFUMES</t>
  </si>
  <si>
    <t>📈  INGRESOS VENTAS</t>
  </si>
  <si>
    <t>Ventas confirmadas ☑</t>
  </si>
  <si>
    <t>Retorno s/ inversión</t>
  </si>
  <si>
    <t>PRODUCTOS DISTINTOS</t>
  </si>
  <si>
    <t>🚦  Estado del Stock por Producto</t>
  </si>
  <si>
    <t>🏆  Top 5 Productos por Inversión</t>
  </si>
  <si>
    <t>Stock</t>
  </si>
  <si>
    <t>% Total</t>
  </si>
  <si>
    <t>1.  VULCAN FEU EDP 100ML UNISEX</t>
  </si>
  <si>
    <t>2.  MAS EDP 100ML UNISEX</t>
  </si>
  <si>
    <t>3.  HAWAS ICE EDP 100ML HOMBRE</t>
  </si>
  <si>
    <t>4.  AQUATICA EDP 100ML HOMBRE</t>
  </si>
  <si>
    <t>5.  MUESTRA 5ML UNISEX</t>
  </si>
  <si>
    <t>QAED AL FURSAN 90ML</t>
  </si>
  <si>
    <t>ECLAIR 35ML</t>
  </si>
  <si>
    <t>RAVE NOW 100ML</t>
  </si>
  <si>
    <t>HAWAS FOR HIM 100ML</t>
  </si>
  <si>
    <t>AQUATICA 100ML</t>
  </si>
  <si>
    <t>MAS 100ML</t>
  </si>
  <si>
    <t>VULCAN FEU 100ML</t>
  </si>
  <si>
    <t>ASAD ELIXIR 100ML</t>
  </si>
  <si>
    <t>HAYAATI 100ML</t>
  </si>
  <si>
    <t>MANDARIN SKY 100ML</t>
  </si>
  <si>
    <t>LIQUID BRUN 100ML</t>
  </si>
  <si>
    <t>HAWAS ICE 100ML</t>
  </si>
  <si>
    <t>ASAD 30ML</t>
  </si>
  <si>
    <t>OUD FOR GLORY 30ML</t>
  </si>
  <si>
    <t>SCANDAL 25ML</t>
  </si>
  <si>
    <t>HAYAATI MIST 250ML</t>
  </si>
  <si>
    <t xml:space="preserve">   Datos actualizados automaticamente. Registra ventas en hoja Ventas (☑) → los KPI y graficos se actualizan solos.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</si>
</sst>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0.0%"/>
    <numFmt numFmtId="166" formatCode="0.0&quot;%&quot;"/>
    <numFmt numFmtId="167" formatCode="&quot;☑&quot;;&quot;&quot;;&quot;☐&quot;;&quot;&quot;"/>
    <numFmt numFmtId="168" formatCode="&quot;$&quot;#,##0"/>
  </numFmts>
  <fonts count="42" x14ac:knownFonts="1">
    <font>
      <sz val="12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555555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rgb="FF666666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sz val="9"/>
      <color rgb="FF7F6000"/>
      <name val="Aptos Narrow"/>
      <family val="2"/>
      <scheme val="minor"/>
    </font>
    <font>
      <i/>
      <sz val="9"/>
      <color rgb="FF7F6000"/>
      <name val="Aptos Narrow"/>
      <family val="2"/>
      <scheme val="minor"/>
    </font>
    <font>
      <b/>
      <sz val="12"/>
      <color rgb="FF375623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rgb="FF333333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1"/>
      <color rgb="FF1F3864"/>
      <name val="Aptos Narrow"/>
      <family val="2"/>
      <scheme val="minor"/>
    </font>
    <font>
      <b/>
      <sz val="11"/>
      <color rgb="FF375623"/>
      <name val="Aptos Narrow"/>
      <family val="2"/>
      <scheme val="minor"/>
    </font>
    <font>
      <b/>
      <sz val="11"/>
      <color rgb="FFC55A11"/>
      <name val="Aptos Narrow"/>
      <family val="2"/>
      <scheme val="minor"/>
    </font>
    <font>
      <b/>
      <sz val="11"/>
      <color rgb="FF7F6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1F3864"/>
      <name val="Aptos Narrow"/>
      <family val="2"/>
      <scheme val="minor"/>
    </font>
    <font>
      <sz val="10"/>
      <color rgb="FF008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rgb="FF375623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0"/>
      <color rgb="FFFFFFFF"/>
      <name val="Aptos Narrow"/>
      <family val="2"/>
      <scheme val="minor"/>
    </font>
    <font>
      <b/>
      <sz val="22"/>
      <color rgb="FF1F3864"/>
      <name val="Aptos Narrow"/>
      <family val="2"/>
      <scheme val="minor"/>
    </font>
    <font>
      <b/>
      <sz val="22"/>
      <color rgb="FF375623"/>
      <name val="Aptos Narrow"/>
      <family val="2"/>
      <scheme val="minor"/>
    </font>
    <font>
      <b/>
      <sz val="22"/>
      <color rgb="FF843C00"/>
      <name val="Aptos Narrow"/>
      <family val="2"/>
      <scheme val="minor"/>
    </font>
    <font>
      <b/>
      <sz val="22"/>
      <color rgb="FF4B006E"/>
      <name val="Aptos Narrow"/>
      <family val="2"/>
      <scheme val="minor"/>
    </font>
    <font>
      <b/>
      <sz val="26"/>
      <color rgb="FF4B006E"/>
      <name val="Aptos Narrow"/>
      <family val="2"/>
      <scheme val="minor"/>
    </font>
    <font>
      <b/>
      <sz val="26"/>
      <color rgb="FF375623"/>
      <name val="Aptos Narrow"/>
      <family val="2"/>
      <scheme val="minor"/>
    </font>
    <font>
      <b/>
      <sz val="26"/>
      <color rgb="FF1F3864"/>
      <name val="Aptos Narrow"/>
      <family val="2"/>
      <scheme val="minor"/>
    </font>
    <font>
      <b/>
      <sz val="26"/>
      <color rgb="FF7F6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rgb="FF843C00"/>
      <name val="Aptos Narrow"/>
      <family val="2"/>
      <scheme val="minor"/>
    </font>
    <font>
      <i/>
      <sz val="9"/>
      <color rgb="FFFFFFFF"/>
      <name val="Aptos Narrow"/>
      <family val="2"/>
      <scheme val="minor"/>
    </font>
    <font>
      <sz val="16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07020"/>
        <bgColor indexed="64"/>
      </patternFill>
    </fill>
    <fill>
      <patternFill patternType="solid">
        <fgColor rgb="FFFEF0E7"/>
        <bgColor indexed="64"/>
      </patternFill>
    </fill>
  </fills>
  <borders count="45">
    <border>
      <left/>
      <right/>
      <top/>
      <bottom/>
      <diagonal/>
    </border>
    <border>
      <left style="thin">
        <color rgb="FF9DC3E6"/>
      </left>
      <right/>
      <top style="thin">
        <color rgb="FF9DC3E6"/>
      </top>
      <bottom style="thin">
        <color rgb="FF9DC3E6"/>
      </bottom>
      <diagonal/>
    </border>
    <border>
      <left/>
      <right style="thin">
        <color rgb="FF9DC3E6"/>
      </right>
      <top style="thin">
        <color rgb="FF9DC3E6"/>
      </top>
      <bottom style="thin">
        <color rgb="FF9DC3E6"/>
      </bottom>
      <diagonal/>
    </border>
    <border>
      <left/>
      <right/>
      <top style="thin">
        <color rgb="FFA9D18E"/>
      </top>
      <bottom/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A9D18E"/>
      </bottom>
      <diagonal/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A9D18E"/>
      </left>
      <right style="thin">
        <color rgb="FFA9D18E"/>
      </right>
      <top/>
      <bottom/>
      <diagonal/>
    </border>
    <border>
      <left/>
      <right/>
      <top style="medium">
        <color rgb="FF2E75B6"/>
      </top>
      <bottom/>
      <diagonal/>
    </border>
    <border>
      <left/>
      <right/>
      <top/>
      <bottom style="medium">
        <color rgb="FF2E75B6"/>
      </bottom>
      <diagonal/>
    </border>
    <border>
      <left style="medium">
        <color rgb="FF2E75B6"/>
      </left>
      <right/>
      <top style="medium">
        <color rgb="FF2E75B6"/>
      </top>
      <bottom/>
      <diagonal/>
    </border>
    <border>
      <left style="medium">
        <color rgb="FF2E75B6"/>
      </left>
      <right/>
      <top/>
      <bottom/>
      <diagonal/>
    </border>
    <border>
      <left style="medium">
        <color rgb="FF2E75B6"/>
      </left>
      <right/>
      <top/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/>
      <diagonal/>
    </border>
    <border>
      <left/>
      <right style="medium">
        <color rgb="FF2E75B6"/>
      </right>
      <top/>
      <bottom/>
      <diagonal/>
    </border>
    <border>
      <left/>
      <right style="medium">
        <color rgb="FF2E75B6"/>
      </right>
      <top/>
      <bottom style="medium">
        <color rgb="FF2E75B6"/>
      </bottom>
      <diagonal/>
    </border>
    <border>
      <left style="medium">
        <color rgb="FF375623"/>
      </left>
      <right/>
      <top style="medium">
        <color rgb="FF375623"/>
      </top>
      <bottom/>
      <diagonal/>
    </border>
    <border>
      <left style="medium">
        <color rgb="FF375623"/>
      </left>
      <right/>
      <top/>
      <bottom/>
      <diagonal/>
    </border>
    <border>
      <left style="medium">
        <color rgb="FF375623"/>
      </left>
      <right/>
      <top/>
      <bottom style="medium">
        <color rgb="FF375623"/>
      </bottom>
      <diagonal/>
    </border>
    <border>
      <left/>
      <right style="medium">
        <color rgb="FF375623"/>
      </right>
      <top style="medium">
        <color rgb="FF375623"/>
      </top>
      <bottom/>
      <diagonal/>
    </border>
    <border>
      <left/>
      <right style="medium">
        <color rgb="FF375623"/>
      </right>
      <top/>
      <bottom/>
      <diagonal/>
    </border>
    <border>
      <left/>
      <right style="medium">
        <color rgb="FF375623"/>
      </right>
      <top/>
      <bottom style="medium">
        <color rgb="FF375623"/>
      </bottom>
      <diagonal/>
    </border>
    <border>
      <left style="medium">
        <color rgb="FFBF8F00"/>
      </left>
      <right/>
      <top style="medium">
        <color rgb="FFBF8F00"/>
      </top>
      <bottom/>
      <diagonal/>
    </border>
    <border>
      <left style="medium">
        <color rgb="FFBF8F00"/>
      </left>
      <right/>
      <top/>
      <bottom/>
      <diagonal/>
    </border>
    <border>
      <left style="medium">
        <color rgb="FFBF8F00"/>
      </left>
      <right/>
      <top/>
      <bottom style="medium">
        <color rgb="FFBF8F00"/>
      </bottom>
      <diagonal/>
    </border>
    <border>
      <left/>
      <right style="medium">
        <color rgb="FFBF8F00"/>
      </right>
      <top style="medium">
        <color rgb="FFBF8F00"/>
      </top>
      <bottom/>
      <diagonal/>
    </border>
    <border>
      <left/>
      <right style="medium">
        <color rgb="FFBF8F00"/>
      </right>
      <top/>
      <bottom/>
      <diagonal/>
    </border>
    <border>
      <left/>
      <right style="medium">
        <color rgb="FFBF8F00"/>
      </right>
      <top/>
      <bottom style="medium">
        <color rgb="FFBF8F00"/>
      </bottom>
      <diagonal/>
    </border>
    <border>
      <left/>
      <right/>
      <top style="medium">
        <color rgb="FFC55A11"/>
      </top>
      <bottom/>
      <diagonal/>
    </border>
    <border>
      <left/>
      <right/>
      <top/>
      <bottom style="medium">
        <color rgb="FFC55A11"/>
      </bottom>
      <diagonal/>
    </border>
    <border>
      <left style="medium">
        <color rgb="FFC55A11"/>
      </left>
      <right/>
      <top style="medium">
        <color rgb="FFC55A11"/>
      </top>
      <bottom/>
      <diagonal/>
    </border>
    <border>
      <left style="medium">
        <color rgb="FFC55A11"/>
      </left>
      <right/>
      <top/>
      <bottom/>
      <diagonal/>
    </border>
    <border>
      <left style="medium">
        <color rgb="FFC55A11"/>
      </left>
      <right/>
      <top/>
      <bottom style="medium">
        <color rgb="FFC55A11"/>
      </bottom>
      <diagonal/>
    </border>
    <border>
      <left/>
      <right style="medium">
        <color rgb="FFC55A11"/>
      </right>
      <top style="medium">
        <color rgb="FFC55A11"/>
      </top>
      <bottom/>
      <diagonal/>
    </border>
    <border>
      <left/>
      <right style="medium">
        <color rgb="FFC55A11"/>
      </right>
      <top/>
      <bottom/>
      <diagonal/>
    </border>
    <border>
      <left/>
      <right style="medium">
        <color rgb="FFC55A11"/>
      </right>
      <top/>
      <bottom style="medium">
        <color rgb="FFC55A11"/>
      </bottom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 style="medium">
        <color rgb="FF7030A0"/>
      </left>
      <right/>
      <top/>
      <bottom/>
      <diagonal/>
    </border>
    <border>
      <left style="medium">
        <color rgb="FF7030A0"/>
      </left>
      <right/>
      <top/>
      <bottom style="medium">
        <color rgb="FF7030A0"/>
      </bottom>
      <diagonal/>
    </border>
    <border>
      <left/>
      <right style="medium">
        <color rgb="FF7030A0"/>
      </right>
      <top style="medium">
        <color rgb="FF7030A0"/>
      </top>
      <bottom/>
      <diagonal/>
    </border>
    <border>
      <left/>
      <right style="medium">
        <color rgb="FF7030A0"/>
      </right>
      <top/>
      <bottom/>
      <diagonal/>
    </border>
    <border>
      <left/>
      <right style="medium">
        <color rgb="FF7030A0"/>
      </right>
      <top/>
      <bottom style="medium">
        <color rgb="FF7030A0"/>
      </bottom>
      <diagonal/>
    </border>
    <border>
      <left style="thin">
        <color rgb="FF9B59B6"/>
      </left>
      <right style="thin">
        <color rgb="FF9B59B6"/>
      </right>
      <top style="thin">
        <color rgb="FF9B59B6"/>
      </top>
      <bottom style="thin">
        <color rgb="FF9B59B6"/>
      </bottom>
      <diagonal/>
    </border>
    <border>
      <left style="thin">
        <color rgb="FFE07020"/>
      </left>
      <right style="thin">
        <color rgb="FFE07020"/>
      </right>
      <top style="thin">
        <color rgb="FFE07020"/>
      </top>
      <bottom style="thin">
        <color rgb="FFE07020"/>
      </bottom>
      <diagonal/>
    </border>
    <border>
      <left style="thin">
        <color rgb="FF9B59B6"/>
      </left>
      <right style="thin">
        <color rgb="FF9B59B6"/>
      </right>
      <top style="thin">
        <color rgb="FF9B59B6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4" fillId="8" borderId="4" xfId="0" applyFont="1" applyFill="1" applyBorder="1" applyAlignment="1">
      <alignment horizontal="center"/>
    </xf>
    <xf numFmtId="164" fontId="3" fillId="8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0" fontId="10" fillId="11" borderId="5" xfId="0" applyFont="1" applyFill="1" applyBorder="1" applyAlignment="1">
      <alignment horizontal="center"/>
    </xf>
    <xf numFmtId="164" fontId="3" fillId="11" borderId="0" xfId="0" applyNumberFormat="1" applyFont="1" applyFill="1" applyAlignment="1">
      <alignment horizontal="right"/>
    </xf>
    <xf numFmtId="0" fontId="12" fillId="12" borderId="1" xfId="0" applyFont="1" applyFill="1" applyBorder="1"/>
    <xf numFmtId="164" fontId="14" fillId="12" borderId="2" xfId="0" applyNumberFormat="1" applyFont="1" applyFill="1" applyBorder="1" applyAlignment="1">
      <alignment horizontal="right"/>
    </xf>
    <xf numFmtId="0" fontId="12" fillId="13" borderId="1" xfId="0" applyFont="1" applyFill="1" applyBorder="1"/>
    <xf numFmtId="164" fontId="15" fillId="13" borderId="2" xfId="0" applyNumberFormat="1" applyFont="1" applyFill="1" applyBorder="1" applyAlignment="1">
      <alignment horizontal="right"/>
    </xf>
    <xf numFmtId="0" fontId="12" fillId="10" borderId="1" xfId="0" applyFont="1" applyFill="1" applyBorder="1"/>
    <xf numFmtId="164" fontId="16" fillId="10" borderId="2" xfId="0" applyNumberFormat="1" applyFont="1" applyFill="1" applyBorder="1" applyAlignment="1">
      <alignment horizontal="right"/>
    </xf>
    <xf numFmtId="0" fontId="12" fillId="9" borderId="1" xfId="0" applyFont="1" applyFill="1" applyBorder="1"/>
    <xf numFmtId="1" fontId="15" fillId="9" borderId="2" xfId="0" applyNumberFormat="1" applyFont="1" applyFill="1" applyBorder="1" applyAlignment="1">
      <alignment horizontal="right"/>
    </xf>
    <xf numFmtId="164" fontId="15" fillId="9" borderId="2" xfId="0" applyNumberFormat="1" applyFont="1" applyFill="1" applyBorder="1" applyAlignment="1">
      <alignment horizontal="right"/>
    </xf>
    <xf numFmtId="0" fontId="12" fillId="7" borderId="1" xfId="0" applyFont="1" applyFill="1" applyBorder="1"/>
    <xf numFmtId="166" fontId="17" fillId="7" borderId="2" xfId="0" applyNumberFormat="1" applyFont="1" applyFill="1" applyBorder="1" applyAlignment="1">
      <alignment horizontal="right"/>
    </xf>
    <xf numFmtId="0" fontId="10" fillId="14" borderId="6" xfId="0" applyFont="1" applyFill="1" applyBorder="1" applyAlignment="1">
      <alignment horizontal="center"/>
    </xf>
    <xf numFmtId="0" fontId="10" fillId="11" borderId="6" xfId="0" applyFont="1" applyFill="1" applyBorder="1" applyAlignment="1">
      <alignment horizontal="center"/>
    </xf>
    <xf numFmtId="164" fontId="3" fillId="11" borderId="6" xfId="0" applyNumberFormat="1" applyFont="1" applyFill="1" applyBorder="1" applyAlignment="1">
      <alignment horizontal="right"/>
    </xf>
    <xf numFmtId="0" fontId="4" fillId="11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20" fillId="5" borderId="6" xfId="0" applyFont="1" applyFill="1" applyBorder="1"/>
    <xf numFmtId="165" fontId="20" fillId="7" borderId="6" xfId="0" applyNumberFormat="1" applyFont="1" applyFill="1" applyBorder="1" applyAlignment="1">
      <alignment horizontal="center"/>
    </xf>
    <xf numFmtId="164" fontId="22" fillId="5" borderId="6" xfId="0" applyNumberFormat="1" applyFont="1" applyFill="1" applyBorder="1" applyAlignment="1">
      <alignment horizontal="right"/>
    </xf>
    <xf numFmtId="0" fontId="20" fillId="6" borderId="6" xfId="0" applyFont="1" applyFill="1" applyBorder="1"/>
    <xf numFmtId="164" fontId="22" fillId="6" borderId="6" xfId="0" applyNumberFormat="1" applyFont="1" applyFill="1" applyBorder="1" applyAlignment="1">
      <alignment horizontal="right"/>
    </xf>
    <xf numFmtId="14" fontId="20" fillId="16" borderId="4" xfId="0" applyNumberFormat="1" applyFont="1" applyFill="1" applyBorder="1" applyAlignment="1">
      <alignment horizontal="center"/>
    </xf>
    <xf numFmtId="0" fontId="20" fillId="16" borderId="4" xfId="0" applyFont="1" applyFill="1" applyBorder="1"/>
    <xf numFmtId="0" fontId="20" fillId="16" borderId="4" xfId="0" applyFont="1" applyFill="1" applyBorder="1" applyAlignment="1">
      <alignment horizontal="center"/>
    </xf>
    <xf numFmtId="164" fontId="20" fillId="16" borderId="4" xfId="0" applyNumberFormat="1" applyFont="1" applyFill="1" applyBorder="1" applyAlignment="1">
      <alignment horizontal="right"/>
    </xf>
    <xf numFmtId="164" fontId="21" fillId="16" borderId="4" xfId="0" applyNumberFormat="1" applyFont="1" applyFill="1" applyBorder="1" applyAlignment="1">
      <alignment horizontal="right"/>
    </xf>
    <xf numFmtId="0" fontId="2" fillId="16" borderId="4" xfId="0" applyFont="1" applyFill="1" applyBorder="1"/>
    <xf numFmtId="14" fontId="20" fillId="9" borderId="4" xfId="0" applyNumberFormat="1" applyFont="1" applyFill="1" applyBorder="1" applyAlignment="1">
      <alignment horizontal="center"/>
    </xf>
    <xf numFmtId="0" fontId="20" fillId="9" borderId="4" xfId="0" applyFont="1" applyFill="1" applyBorder="1"/>
    <xf numFmtId="0" fontId="20" fillId="9" borderId="4" xfId="0" applyFont="1" applyFill="1" applyBorder="1" applyAlignment="1">
      <alignment horizontal="center"/>
    </xf>
    <xf numFmtId="164" fontId="20" fillId="9" borderId="4" xfId="0" applyNumberFormat="1" applyFont="1" applyFill="1" applyBorder="1" applyAlignment="1">
      <alignment horizontal="right"/>
    </xf>
    <xf numFmtId="164" fontId="21" fillId="9" borderId="4" xfId="0" applyNumberFormat="1" applyFont="1" applyFill="1" applyBorder="1" applyAlignment="1">
      <alignment horizontal="right"/>
    </xf>
    <xf numFmtId="0" fontId="2" fillId="9" borderId="4" xfId="0" applyFont="1" applyFill="1" applyBorder="1"/>
    <xf numFmtId="14" fontId="20" fillId="7" borderId="4" xfId="0" applyNumberFormat="1" applyFont="1" applyFill="1" applyBorder="1" applyAlignment="1">
      <alignment horizontal="center"/>
    </xf>
    <xf numFmtId="0" fontId="20" fillId="7" borderId="4" xfId="0" applyFont="1" applyFill="1" applyBorder="1"/>
    <xf numFmtId="0" fontId="20" fillId="7" borderId="4" xfId="0" applyFont="1" applyFill="1" applyBorder="1" applyAlignment="1">
      <alignment horizontal="center"/>
    </xf>
    <xf numFmtId="164" fontId="20" fillId="7" borderId="4" xfId="0" applyNumberFormat="1" applyFont="1" applyFill="1" applyBorder="1" applyAlignment="1">
      <alignment horizontal="right"/>
    </xf>
    <xf numFmtId="164" fontId="21" fillId="7" borderId="4" xfId="0" applyNumberFormat="1" applyFont="1" applyFill="1" applyBorder="1" applyAlignment="1">
      <alignment horizontal="right"/>
    </xf>
    <xf numFmtId="0" fontId="2" fillId="7" borderId="4" xfId="0" applyFont="1" applyFill="1" applyBorder="1"/>
    <xf numFmtId="164" fontId="23" fillId="3" borderId="7" xfId="0" applyNumberFormat="1" applyFont="1" applyFill="1" applyBorder="1" applyAlignment="1">
      <alignment horizontal="right"/>
    </xf>
    <xf numFmtId="164" fontId="13" fillId="3" borderId="0" xfId="0" applyNumberFormat="1" applyFont="1" applyFill="1" applyAlignment="1">
      <alignment horizontal="right"/>
    </xf>
    <xf numFmtId="167" fontId="19" fillId="5" borderId="5" xfId="0" applyNumberFormat="1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  <xf numFmtId="0" fontId="20" fillId="5" borderId="5" xfId="0" applyFont="1" applyFill="1" applyBorder="1"/>
    <xf numFmtId="164" fontId="24" fillId="5" borderId="5" xfId="0" applyNumberFormat="1" applyFont="1" applyFill="1" applyBorder="1" applyAlignment="1">
      <alignment horizontal="right"/>
    </xf>
    <xf numFmtId="164" fontId="21" fillId="5" borderId="5" xfId="0" applyNumberFormat="1" applyFont="1" applyFill="1" applyBorder="1" applyAlignment="1">
      <alignment horizontal="right"/>
    </xf>
    <xf numFmtId="164" fontId="22" fillId="5" borderId="5" xfId="0" applyNumberFormat="1" applyFont="1" applyFill="1" applyBorder="1" applyAlignment="1">
      <alignment horizontal="right"/>
    </xf>
    <xf numFmtId="0" fontId="18" fillId="5" borderId="5" xfId="0" applyFont="1" applyFill="1" applyBorder="1"/>
    <xf numFmtId="167" fontId="19" fillId="10" borderId="5" xfId="0" applyNumberFormat="1" applyFont="1" applyFill="1" applyBorder="1" applyAlignment="1">
      <alignment horizontal="center"/>
    </xf>
    <xf numFmtId="0" fontId="20" fillId="10" borderId="5" xfId="0" applyFont="1" applyFill="1" applyBorder="1" applyAlignment="1">
      <alignment horizontal="center"/>
    </xf>
    <xf numFmtId="0" fontId="20" fillId="10" borderId="5" xfId="0" applyFont="1" applyFill="1" applyBorder="1"/>
    <xf numFmtId="164" fontId="24" fillId="10" borderId="5" xfId="0" applyNumberFormat="1" applyFont="1" applyFill="1" applyBorder="1" applyAlignment="1">
      <alignment horizontal="right"/>
    </xf>
    <xf numFmtId="164" fontId="21" fillId="10" borderId="5" xfId="0" applyNumberFormat="1" applyFont="1" applyFill="1" applyBorder="1" applyAlignment="1">
      <alignment horizontal="right"/>
    </xf>
    <xf numFmtId="164" fontId="22" fillId="10" borderId="5" xfId="0" applyNumberFormat="1" applyFont="1" applyFill="1" applyBorder="1" applyAlignment="1">
      <alignment horizontal="right"/>
    </xf>
    <xf numFmtId="0" fontId="18" fillId="10" borderId="5" xfId="0" applyFont="1" applyFill="1" applyBorder="1"/>
    <xf numFmtId="0" fontId="25" fillId="5" borderId="6" xfId="0" applyFont="1" applyFill="1" applyBorder="1"/>
    <xf numFmtId="0" fontId="25" fillId="5" borderId="6" xfId="0" applyFont="1" applyFill="1" applyBorder="1" applyAlignment="1">
      <alignment horizontal="center"/>
    </xf>
    <xf numFmtId="0" fontId="26" fillId="5" borderId="6" xfId="0" applyFont="1" applyFill="1" applyBorder="1" applyAlignment="1">
      <alignment horizontal="center"/>
    </xf>
    <xf numFmtId="0" fontId="25" fillId="15" borderId="6" xfId="0" applyFont="1" applyFill="1" applyBorder="1"/>
    <xf numFmtId="0" fontId="25" fillId="15" borderId="6" xfId="0" applyFont="1" applyFill="1" applyBorder="1" applyAlignment="1">
      <alignment horizontal="center"/>
    </xf>
    <xf numFmtId="0" fontId="26" fillId="15" borderId="6" xfId="0" applyFont="1" applyFill="1" applyBorder="1" applyAlignment="1">
      <alignment horizontal="center"/>
    </xf>
    <xf numFmtId="0" fontId="28" fillId="14" borderId="6" xfId="0" applyFont="1" applyFill="1" applyBorder="1" applyAlignment="1">
      <alignment horizontal="center"/>
    </xf>
    <xf numFmtId="0" fontId="3" fillId="14" borderId="6" xfId="0" applyFont="1" applyFill="1" applyBorder="1" applyAlignment="1">
      <alignment horizontal="center"/>
    </xf>
    <xf numFmtId="164" fontId="26" fillId="5" borderId="6" xfId="0" applyNumberFormat="1" applyFont="1" applyFill="1" applyBorder="1" applyAlignment="1">
      <alignment horizontal="right"/>
    </xf>
    <xf numFmtId="164" fontId="25" fillId="5" borderId="6" xfId="0" applyNumberFormat="1" applyFont="1" applyFill="1" applyBorder="1" applyAlignment="1">
      <alignment horizontal="right"/>
    </xf>
    <xf numFmtId="164" fontId="27" fillId="5" borderId="6" xfId="0" applyNumberFormat="1" applyFont="1" applyFill="1" applyBorder="1" applyAlignment="1">
      <alignment horizontal="right"/>
    </xf>
    <xf numFmtId="166" fontId="7" fillId="5" borderId="6" xfId="0" applyNumberFormat="1" applyFont="1" applyFill="1" applyBorder="1" applyAlignment="1">
      <alignment horizontal="center"/>
    </xf>
    <xf numFmtId="0" fontId="25" fillId="10" borderId="6" xfId="0" applyFont="1" applyFill="1" applyBorder="1"/>
    <xf numFmtId="0" fontId="25" fillId="10" borderId="6" xfId="0" applyFont="1" applyFill="1" applyBorder="1" applyAlignment="1">
      <alignment horizontal="center"/>
    </xf>
    <xf numFmtId="164" fontId="26" fillId="10" borderId="6" xfId="0" applyNumberFormat="1" applyFont="1" applyFill="1" applyBorder="1" applyAlignment="1">
      <alignment horizontal="right"/>
    </xf>
    <xf numFmtId="164" fontId="25" fillId="10" borderId="6" xfId="0" applyNumberFormat="1" applyFont="1" applyFill="1" applyBorder="1" applyAlignment="1">
      <alignment horizontal="right"/>
    </xf>
    <xf numFmtId="164" fontId="27" fillId="10" borderId="6" xfId="0" applyNumberFormat="1" applyFont="1" applyFill="1" applyBorder="1" applyAlignment="1">
      <alignment horizontal="right"/>
    </xf>
    <xf numFmtId="166" fontId="7" fillId="10" borderId="6" xfId="0" applyNumberFormat="1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right"/>
    </xf>
    <xf numFmtId="164" fontId="28" fillId="11" borderId="6" xfId="0" applyNumberFormat="1" applyFont="1" applyFill="1" applyBorder="1" applyAlignment="1">
      <alignment horizontal="right"/>
    </xf>
    <xf numFmtId="166" fontId="28" fillId="11" borderId="6" xfId="0" applyNumberFormat="1" applyFont="1" applyFill="1" applyBorder="1" applyAlignment="1">
      <alignment horizontal="right"/>
    </xf>
    <xf numFmtId="164" fontId="20" fillId="5" borderId="6" xfId="0" applyNumberFormat="1" applyFont="1" applyFill="1" applyBorder="1" applyAlignment="1">
      <alignment horizontal="right"/>
    </xf>
    <xf numFmtId="164" fontId="20" fillId="6" borderId="6" xfId="0" applyNumberFormat="1" applyFont="1" applyFill="1" applyBorder="1" applyAlignment="1">
      <alignment horizontal="right"/>
    </xf>
    <xf numFmtId="164" fontId="21" fillId="5" borderId="6" xfId="0" applyNumberFormat="1" applyFont="1" applyFill="1" applyBorder="1" applyAlignment="1">
      <alignment horizontal="center" vertical="center"/>
    </xf>
    <xf numFmtId="164" fontId="21" fillId="6" borderId="6" xfId="0" applyNumberFormat="1" applyFont="1" applyFill="1" applyBorder="1" applyAlignment="1">
      <alignment horizontal="center" vertical="center"/>
    </xf>
    <xf numFmtId="0" fontId="0" fillId="17" borderId="0" xfId="0" applyFill="1"/>
    <xf numFmtId="0" fontId="0" fillId="16" borderId="12" xfId="0" applyFill="1" applyBorder="1"/>
    <xf numFmtId="0" fontId="0" fillId="16" borderId="15" xfId="0" applyFill="1" applyBorder="1"/>
    <xf numFmtId="0" fontId="0" fillId="9" borderId="18" xfId="0" applyFill="1" applyBorder="1"/>
    <xf numFmtId="0" fontId="0" fillId="9" borderId="21" xfId="0" applyFill="1" applyBorder="1"/>
    <xf numFmtId="0" fontId="0" fillId="10" borderId="32" xfId="0" applyFill="1" applyBorder="1"/>
    <xf numFmtId="0" fontId="0" fillId="10" borderId="35" xfId="0" applyFill="1" applyBorder="1"/>
    <xf numFmtId="0" fontId="0" fillId="15" borderId="38" xfId="0" applyFill="1" applyBorder="1"/>
    <xf numFmtId="0" fontId="0" fillId="15" borderId="41" xfId="0" applyFill="1" applyBorder="1"/>
    <xf numFmtId="0" fontId="0" fillId="7" borderId="24" xfId="0" applyFill="1" applyBorder="1"/>
    <xf numFmtId="0" fontId="0" fillId="7" borderId="27" xfId="0" applyFill="1" applyBorder="1"/>
    <xf numFmtId="0" fontId="28" fillId="19" borderId="42" xfId="0" applyFont="1" applyFill="1" applyBorder="1" applyAlignment="1">
      <alignment horizontal="center"/>
    </xf>
    <xf numFmtId="0" fontId="25" fillId="5" borderId="42" xfId="0" applyFont="1" applyFill="1" applyBorder="1" applyAlignment="1">
      <alignment horizontal="center"/>
    </xf>
    <xf numFmtId="0" fontId="25" fillId="15" borderId="42" xfId="0" applyFont="1" applyFill="1" applyBorder="1" applyAlignment="1">
      <alignment horizontal="center"/>
    </xf>
    <xf numFmtId="0" fontId="0" fillId="0" borderId="43" xfId="0" applyBorder="1"/>
    <xf numFmtId="0" fontId="28" fillId="20" borderId="43" xfId="0" applyFont="1" applyFill="1" applyBorder="1" applyAlignment="1">
      <alignment horizontal="center"/>
    </xf>
    <xf numFmtId="168" fontId="39" fillId="5" borderId="43" xfId="0" applyNumberFormat="1" applyFont="1" applyFill="1" applyBorder="1" applyAlignment="1">
      <alignment horizontal="right"/>
    </xf>
    <xf numFmtId="166" fontId="5" fillId="5" borderId="43" xfId="0" applyNumberFormat="1" applyFont="1" applyFill="1" applyBorder="1" applyAlignment="1">
      <alignment horizontal="center"/>
    </xf>
    <xf numFmtId="168" fontId="39" fillId="10" borderId="43" xfId="0" applyNumberFormat="1" applyFont="1" applyFill="1" applyBorder="1" applyAlignment="1">
      <alignment horizontal="right"/>
    </xf>
    <xf numFmtId="166" fontId="5" fillId="10" borderId="43" xfId="0" applyNumberFormat="1" applyFont="1" applyFill="1" applyBorder="1" applyAlignment="1">
      <alignment horizontal="center"/>
    </xf>
    <xf numFmtId="0" fontId="0" fillId="2" borderId="0" xfId="0" applyFill="1"/>
    <xf numFmtId="0" fontId="28" fillId="17" borderId="42" xfId="0" applyFont="1" applyFill="1" applyBorder="1" applyAlignment="1">
      <alignment horizontal="center"/>
    </xf>
    <xf numFmtId="0" fontId="25" fillId="17" borderId="42" xfId="0" applyFont="1" applyFill="1" applyBorder="1" applyAlignment="1">
      <alignment horizontal="center"/>
    </xf>
    <xf numFmtId="0" fontId="0" fillId="17" borderId="43" xfId="0" applyFill="1" applyBorder="1"/>
    <xf numFmtId="0" fontId="0" fillId="6" borderId="0" xfId="0" applyFill="1"/>
    <xf numFmtId="0" fontId="0" fillId="17" borderId="44" xfId="0" applyFill="1" applyBorder="1"/>
    <xf numFmtId="0" fontId="3" fillId="17" borderId="44" xfId="0" applyFont="1" applyFill="1" applyBorder="1" applyAlignment="1">
      <alignment horizontal="center"/>
    </xf>
    <xf numFmtId="0" fontId="0" fillId="6" borderId="9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14" xfId="0" applyFill="1" applyBorder="1"/>
    <xf numFmtId="0" fontId="0" fillId="6" borderId="15" xfId="0" applyFill="1" applyBorder="1"/>
    <xf numFmtId="0" fontId="0" fillId="21" borderId="0" xfId="0" applyFill="1"/>
    <xf numFmtId="0" fontId="0" fillId="21" borderId="29" xfId="0" applyFill="1" applyBorder="1"/>
    <xf numFmtId="0" fontId="0" fillId="21" borderId="31" xfId="0" applyFill="1" applyBorder="1"/>
    <xf numFmtId="0" fontId="0" fillId="21" borderId="32" xfId="0" applyFill="1" applyBorder="1"/>
    <xf numFmtId="0" fontId="0" fillId="21" borderId="34" xfId="0" applyFill="1" applyBorder="1"/>
    <xf numFmtId="0" fontId="0" fillId="21" borderId="35" xfId="0" applyFill="1" applyBorder="1"/>
    <xf numFmtId="164" fontId="24" fillId="5" borderId="5" xfId="0" applyNumberFormat="1" applyFont="1" applyFill="1" applyBorder="1" applyAlignment="1">
      <alignment horizontal="center" vertical="center"/>
    </xf>
    <xf numFmtId="164" fontId="24" fillId="10" borderId="5" xfId="0" applyNumberFormat="1" applyFont="1" applyFill="1" applyBorder="1" applyAlignment="1">
      <alignment horizontal="center" vertical="center"/>
    </xf>
    <xf numFmtId="167" fontId="41" fillId="5" borderId="5" xfId="0" applyNumberFormat="1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17" borderId="8" xfId="0" applyFont="1" applyFill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11" borderId="30" xfId="0" applyFont="1" applyFill="1" applyBorder="1" applyAlignment="1">
      <alignment horizontal="center"/>
    </xf>
    <xf numFmtId="0" fontId="4" fillId="11" borderId="28" xfId="0" applyFont="1" applyFill="1" applyBorder="1" applyAlignment="1">
      <alignment horizontal="center"/>
    </xf>
    <xf numFmtId="0" fontId="4" fillId="17" borderId="28" xfId="0" applyFont="1" applyFill="1" applyBorder="1" applyAlignment="1">
      <alignment horizontal="center"/>
    </xf>
    <xf numFmtId="0" fontId="4" fillId="11" borderId="33" xfId="0" applyFont="1" applyFill="1" applyBorder="1" applyAlignment="1">
      <alignment horizontal="center"/>
    </xf>
    <xf numFmtId="0" fontId="40" fillId="2" borderId="0" xfId="0" applyFont="1" applyFill="1" applyAlignment="1">
      <alignment horizontal="left"/>
    </xf>
    <xf numFmtId="0" fontId="40" fillId="17" borderId="0" xfId="0" applyFont="1" applyFill="1" applyAlignment="1">
      <alignment horizontal="left"/>
    </xf>
    <xf numFmtId="0" fontId="28" fillId="17" borderId="44" xfId="0" applyFont="1" applyFill="1" applyBorder="1"/>
    <xf numFmtId="0" fontId="38" fillId="17" borderId="44" xfId="0" applyFont="1" applyFill="1" applyBorder="1"/>
    <xf numFmtId="0" fontId="28" fillId="20" borderId="43" xfId="0" applyFont="1" applyFill="1" applyBorder="1" applyAlignment="1">
      <alignment horizontal="center"/>
    </xf>
    <xf numFmtId="0" fontId="28" fillId="17" borderId="43" xfId="0" applyFont="1" applyFill="1" applyBorder="1" applyAlignment="1">
      <alignment horizontal="center"/>
    </xf>
    <xf numFmtId="0" fontId="25" fillId="5" borderId="43" xfId="0" applyFont="1" applyFill="1" applyBorder="1"/>
    <xf numFmtId="0" fontId="0" fillId="0" borderId="43" xfId="0" applyBorder="1"/>
    <xf numFmtId="0" fontId="0" fillId="17" borderId="43" xfId="0" applyFill="1" applyBorder="1"/>
    <xf numFmtId="0" fontId="25" fillId="10" borderId="43" xfId="0" applyFont="1" applyFill="1" applyBorder="1"/>
    <xf numFmtId="0" fontId="38" fillId="15" borderId="42" xfId="0" applyFont="1" applyFill="1" applyBorder="1"/>
    <xf numFmtId="0" fontId="38" fillId="5" borderId="42" xfId="0" applyFont="1" applyFill="1" applyBorder="1"/>
    <xf numFmtId="0" fontId="0" fillId="0" borderId="42" xfId="0" applyBorder="1"/>
    <xf numFmtId="0" fontId="4" fillId="14" borderId="42" xfId="0" applyFont="1" applyFill="1" applyBorder="1" applyAlignment="1">
      <alignment horizontal="center"/>
    </xf>
    <xf numFmtId="0" fontId="0" fillId="17" borderId="42" xfId="0" applyFill="1" applyBorder="1"/>
    <xf numFmtId="0" fontId="4" fillId="11" borderId="43" xfId="0" applyFont="1" applyFill="1" applyBorder="1" applyAlignment="1">
      <alignment horizontal="center"/>
    </xf>
    <xf numFmtId="0" fontId="28" fillId="19" borderId="4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0" fillId="0" borderId="13" xfId="0" applyBorder="1"/>
    <xf numFmtId="1" fontId="36" fillId="16" borderId="11" xfId="0" applyNumberFormat="1" applyFont="1" applyFill="1" applyBorder="1" applyAlignment="1">
      <alignment horizontal="center"/>
    </xf>
    <xf numFmtId="0" fontId="0" fillId="0" borderId="14" xfId="0" applyBorder="1"/>
    <xf numFmtId="0" fontId="0" fillId="0" borderId="11" xfId="0" applyBorder="1"/>
    <xf numFmtId="0" fontId="28" fillId="18" borderId="22" xfId="0" applyFont="1" applyFill="1" applyBorder="1" applyAlignment="1">
      <alignment horizontal="center"/>
    </xf>
    <xf numFmtId="0" fontId="0" fillId="0" borderId="25" xfId="0" applyBorder="1"/>
    <xf numFmtId="1" fontId="37" fillId="7" borderId="23" xfId="0" applyNumberFormat="1" applyFont="1" applyFill="1" applyBorder="1" applyAlignment="1">
      <alignment horizontal="center"/>
    </xf>
    <xf numFmtId="0" fontId="0" fillId="0" borderId="26" xfId="0" applyBorder="1"/>
    <xf numFmtId="0" fontId="0" fillId="0" borderId="23" xfId="0" applyBorder="1"/>
    <xf numFmtId="0" fontId="28" fillId="14" borderId="36" xfId="0" applyFont="1" applyFill="1" applyBorder="1" applyAlignment="1">
      <alignment horizontal="center"/>
    </xf>
    <xf numFmtId="0" fontId="0" fillId="0" borderId="39" xfId="0" applyBorder="1"/>
    <xf numFmtId="1" fontId="34" fillId="15" borderId="37" xfId="0" applyNumberFormat="1" applyFont="1" applyFill="1" applyBorder="1" applyAlignment="1">
      <alignment horizontal="center"/>
    </xf>
    <xf numFmtId="0" fontId="0" fillId="0" borderId="40" xfId="0" applyBorder="1"/>
    <xf numFmtId="0" fontId="0" fillId="0" borderId="37" xfId="0" applyBorder="1"/>
    <xf numFmtId="0" fontId="28" fillId="8" borderId="16" xfId="0" applyFont="1" applyFill="1" applyBorder="1" applyAlignment="1">
      <alignment horizontal="center"/>
    </xf>
    <xf numFmtId="0" fontId="0" fillId="0" borderId="19" xfId="0" applyBorder="1"/>
    <xf numFmtId="1" fontId="35" fillId="9" borderId="17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10" fillId="11" borderId="30" xfId="0" applyFont="1" applyFill="1" applyBorder="1" applyAlignment="1">
      <alignment horizontal="center"/>
    </xf>
    <xf numFmtId="0" fontId="0" fillId="0" borderId="33" xfId="0" applyBorder="1"/>
    <xf numFmtId="168" fontId="32" fillId="10" borderId="31" xfId="0" applyNumberFormat="1" applyFont="1" applyFill="1" applyBorder="1" applyAlignment="1">
      <alignment horizontal="center"/>
    </xf>
    <xf numFmtId="0" fontId="0" fillId="0" borderId="34" xfId="0" applyBorder="1"/>
    <xf numFmtId="0" fontId="0" fillId="0" borderId="31" xfId="0" applyBorder="1"/>
    <xf numFmtId="0" fontId="6" fillId="10" borderId="31" xfId="0" applyFont="1" applyFill="1" applyBorder="1" applyAlignment="1">
      <alignment horizontal="center"/>
    </xf>
    <xf numFmtId="0" fontId="10" fillId="14" borderId="36" xfId="0" applyFont="1" applyFill="1" applyBorder="1" applyAlignment="1">
      <alignment horizontal="center"/>
    </xf>
    <xf numFmtId="165" fontId="33" fillId="15" borderId="37" xfId="0" applyNumberFormat="1" applyFont="1" applyFill="1" applyBorder="1" applyAlignment="1">
      <alignment horizontal="center"/>
    </xf>
    <xf numFmtId="0" fontId="6" fillId="15" borderId="37" xfId="0" applyFont="1" applyFill="1" applyBorder="1" applyAlignment="1">
      <alignment horizontal="center"/>
    </xf>
    <xf numFmtId="0" fontId="11" fillId="2" borderId="0" xfId="0" applyFont="1" applyFill="1" applyAlignment="1">
      <alignment horizontal="left"/>
    </xf>
    <xf numFmtId="0" fontId="0" fillId="0" borderId="0" xfId="0"/>
    <xf numFmtId="0" fontId="0" fillId="17" borderId="0" xfId="0" applyFill="1"/>
    <xf numFmtId="0" fontId="0" fillId="2" borderId="0" xfId="0" applyFill="1"/>
    <xf numFmtId="0" fontId="29" fillId="2" borderId="0" xfId="0" applyFont="1" applyFill="1" applyAlignment="1">
      <alignment horizontal="left"/>
    </xf>
    <xf numFmtId="0" fontId="10" fillId="4" borderId="10" xfId="0" applyFont="1" applyFill="1" applyBorder="1" applyAlignment="1">
      <alignment horizontal="center"/>
    </xf>
    <xf numFmtId="168" fontId="30" fillId="16" borderId="11" xfId="0" applyNumberFormat="1" applyFont="1" applyFill="1" applyBorder="1" applyAlignment="1">
      <alignment horizontal="center"/>
    </xf>
    <xf numFmtId="0" fontId="6" fillId="16" borderId="11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168" fontId="31" fillId="9" borderId="17" xfId="0" applyNumberFormat="1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0" borderId="0" xfId="0" applyFont="1"/>
    <xf numFmtId="0" fontId="8" fillId="7" borderId="0" xfId="0" applyFont="1" applyFill="1"/>
    <xf numFmtId="0" fontId="3" fillId="8" borderId="0" xfId="0" applyFont="1" applyFill="1" applyAlignment="1">
      <alignment horizontal="right"/>
    </xf>
    <xf numFmtId="0" fontId="9" fillId="0" borderId="0" xfId="0" applyFont="1" applyAlignment="1">
      <alignment horizontal="right"/>
    </xf>
    <xf numFmtId="0" fontId="0" fillId="0" borderId="3" xfId="0" applyBorder="1"/>
    <xf numFmtId="0" fontId="2" fillId="10" borderId="0" xfId="0" applyFont="1" applyFill="1" applyAlignment="1">
      <alignment horizontal="center"/>
    </xf>
    <xf numFmtId="0" fontId="4" fillId="11" borderId="0" xfId="0" applyFont="1" applyFill="1"/>
    <xf numFmtId="0" fontId="11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</cellXfs>
  <cellStyles count="1">
    <cellStyle name="Normal" xfId="0" builtinId="0"/>
  </cellStyles>
  <dxfs count="5">
    <dxf>
      <font>
        <color rgb="FF375623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75623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386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Inversión por Producto ($)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3864"/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Costo ($)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ChartData!$A$2:$A$22</c:f>
              <c:strCache>
                <c:ptCount val="21"/>
                <c:pt idx="0">
                  <c:v>QAED AL FURSAN 90ML</c:v>
                </c:pt>
                <c:pt idx="1">
                  <c:v>ECLAIR 35ML</c:v>
                </c:pt>
                <c:pt idx="2">
                  <c:v>RAVE NOW 100ML</c:v>
                </c:pt>
                <c:pt idx="3">
                  <c:v>HAWAS FOR HIM 100ML</c:v>
                </c:pt>
                <c:pt idx="4">
                  <c:v>AQUATICA 100ML</c:v>
                </c:pt>
                <c:pt idx="5">
                  <c:v>MAS 100ML</c:v>
                </c:pt>
                <c:pt idx="6">
                  <c:v>VULCAN FEU 100ML</c:v>
                </c:pt>
                <c:pt idx="7">
                  <c:v>ASAD ELIXIR 100ML</c:v>
                </c:pt>
                <c:pt idx="8">
                  <c:v>HAYAATI 100ML</c:v>
                </c:pt>
                <c:pt idx="9">
                  <c:v>MANDARIN SKY 100ML</c:v>
                </c:pt>
                <c:pt idx="10">
                  <c:v>LIQUID BRUN 100ML</c:v>
                </c:pt>
                <c:pt idx="11">
                  <c:v>HAWAS ICE 100ML</c:v>
                </c:pt>
                <c:pt idx="12">
                  <c:v>ASAD 30ML</c:v>
                </c:pt>
                <c:pt idx="13">
                  <c:v>OUD FOR GLORY 30ML</c:v>
                </c:pt>
                <c:pt idx="14">
                  <c:v>SCANDAL 25ML</c:v>
                </c:pt>
                <c:pt idx="15">
                  <c:v>SCANDAL WOMEN 30ML</c:v>
                </c:pt>
                <c:pt idx="16">
                  <c:v>SARA CANDY 30ML</c:v>
                </c:pt>
                <c:pt idx="17">
                  <c:v>KAMRAH 30ML</c:v>
                </c:pt>
                <c:pt idx="18">
                  <c:v>NOW PINK 30ML</c:v>
                </c:pt>
                <c:pt idx="19">
                  <c:v>HAYAATI MIST 250ML</c:v>
                </c:pt>
                <c:pt idx="20">
                  <c:v>MUESTRA 5ML</c:v>
                </c:pt>
              </c:strCache>
            </c:strRef>
          </c:cat>
          <c:val>
            <c:numRef>
              <c:f>ChartData!$B$2:$B$22</c:f>
              <c:numCache>
                <c:formatCode>General</c:formatCode>
                <c:ptCount val="21"/>
                <c:pt idx="0">
                  <c:v>11900</c:v>
                </c:pt>
                <c:pt idx="1">
                  <c:v>3900</c:v>
                </c:pt>
                <c:pt idx="2">
                  <c:v>13900</c:v>
                </c:pt>
                <c:pt idx="3">
                  <c:v>21900</c:v>
                </c:pt>
                <c:pt idx="4">
                  <c:v>25900</c:v>
                </c:pt>
                <c:pt idx="5">
                  <c:v>29900</c:v>
                </c:pt>
                <c:pt idx="6">
                  <c:v>32900</c:v>
                </c:pt>
                <c:pt idx="7">
                  <c:v>23900</c:v>
                </c:pt>
                <c:pt idx="8">
                  <c:v>11900</c:v>
                </c:pt>
                <c:pt idx="9">
                  <c:v>25900</c:v>
                </c:pt>
                <c:pt idx="10">
                  <c:v>24900</c:v>
                </c:pt>
                <c:pt idx="11">
                  <c:v>26900</c:v>
                </c:pt>
                <c:pt idx="12">
                  <c:v>2900</c:v>
                </c:pt>
                <c:pt idx="13">
                  <c:v>2900</c:v>
                </c:pt>
                <c:pt idx="14">
                  <c:v>2900</c:v>
                </c:pt>
                <c:pt idx="15">
                  <c:v>5800</c:v>
                </c:pt>
                <c:pt idx="16">
                  <c:v>2900</c:v>
                </c:pt>
                <c:pt idx="17">
                  <c:v>2900</c:v>
                </c:pt>
                <c:pt idx="18">
                  <c:v>2900</c:v>
                </c:pt>
                <c:pt idx="19">
                  <c:v>3900</c:v>
                </c:pt>
                <c:pt idx="20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C-5049-9C8D-2B7EAFF47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33340671"/>
        <c:axId val="1333343359"/>
      </c:barChart>
      <c:catAx>
        <c:axId val="1333340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333343359"/>
        <c:crosses val="autoZero"/>
        <c:auto val="1"/>
        <c:lblAlgn val="ctr"/>
        <c:lblOffset val="100"/>
        <c:noMultiLvlLbl val="0"/>
      </c:catAx>
      <c:valAx>
        <c:axId val="1333343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L"/>
          </a:p>
        </c:txPr>
        <c:crossAx val="133334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843C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Inversión por Recibo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843C00"/>
              </a:solidFill>
              <a:latin typeface="+mn-lt"/>
              <a:ea typeface="+mn-ea"/>
              <a:cs typeface="+mn-cs"/>
            </a:defRPr>
          </a:pPr>
          <a:endParaRPr lang="en-C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ChartData!$E$1</c:f>
              <c:strCache>
                <c:ptCount val="1"/>
                <c:pt idx="0">
                  <c:v>Total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00-8541-9944-A62C0E9398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00-8541-9944-A62C0E9398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00-8541-9944-A62C0E93985E}"/>
              </c:ext>
            </c:extLst>
          </c:dPt>
          <c:cat>
            <c:strRef>
              <c:f>ChartData!$D$2:$D$4</c:f>
              <c:strCache>
                <c:ptCount val="3"/>
                <c:pt idx="0">
                  <c:v>Recibo #21395</c:v>
                </c:pt>
                <c:pt idx="1">
                  <c:v>Recibo #21398</c:v>
                </c:pt>
                <c:pt idx="2">
                  <c:v>Recibo #21402</c:v>
                </c:pt>
              </c:strCache>
            </c:strRef>
          </c:cat>
          <c:val>
            <c:numRef>
              <c:f>ChartData!$E$2:$E$4</c:f>
              <c:numCache>
                <c:formatCode>General</c:formatCode>
                <c:ptCount val="3"/>
                <c:pt idx="0">
                  <c:v>253800</c:v>
                </c:pt>
                <c:pt idx="1">
                  <c:v>27100</c:v>
                </c:pt>
                <c:pt idx="2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2-1E40-B9C1-D9A349788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40</xdr:row>
      <xdr:rowOff>0</xdr:rowOff>
    </xdr:from>
    <xdr:to>
      <xdr:col>6</xdr:col>
      <xdr:colOff>0</xdr:colOff>
      <xdr:row>61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03C8F73-C12D-A15C-1E76-C3095CFD8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40</xdr:row>
      <xdr:rowOff>0</xdr:rowOff>
    </xdr:from>
    <xdr:to>
      <xdr:col>12</xdr:col>
      <xdr:colOff>0</xdr:colOff>
      <xdr:row>61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1983F9D-40E1-6BD1-B74A-EBE706091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CA415C-0942-9F40-BE53-A4C3816B8D92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74CD-4A1B-CD4E-8E7C-6512D3178E9D}">
  <dimension ref="A1:M63"/>
  <sheetViews>
    <sheetView zoomScale="130" zoomScaleNormal="130" workbookViewId="0">
      <selection activeCell="S35" sqref="S35"/>
    </sheetView>
  </sheetViews>
  <sheetFormatPr baseColWidth="10" defaultRowHeight="16" x14ac:dyDescent="0.2"/>
  <cols>
    <col min="15" max="19" width="10.83203125" customWidth="1"/>
  </cols>
  <sheetData>
    <row r="1" spans="1:13" ht="44" customHeight="1" x14ac:dyDescent="0.3">
      <c r="A1" s="182" t="s">
        <v>98</v>
      </c>
      <c r="B1" s="183"/>
      <c r="C1" s="183"/>
      <c r="D1" s="184"/>
      <c r="E1" s="183"/>
      <c r="F1" s="183"/>
      <c r="G1" s="184"/>
      <c r="H1" s="183"/>
      <c r="I1" s="183"/>
      <c r="J1" s="184"/>
      <c r="K1" s="183"/>
      <c r="L1" s="183"/>
      <c r="M1" s="185"/>
    </row>
    <row r="2" spans="1:13" ht="22" customHeight="1" x14ac:dyDescent="0.2">
      <c r="A2" s="186" t="str">
        <f ca="1">"   Actualizado al " &amp; TEXT(TODAY(),"DD/MM/YYYY")</f>
        <v xml:space="preserve">   Actualizado al 17/03/2026</v>
      </c>
      <c r="B2" s="183"/>
      <c r="C2" s="183"/>
      <c r="D2" s="184"/>
      <c r="E2" s="183"/>
      <c r="F2" s="183"/>
      <c r="G2" s="184"/>
      <c r="H2" s="183"/>
      <c r="I2" s="183"/>
      <c r="J2" s="184"/>
      <c r="K2" s="183"/>
      <c r="L2" s="183"/>
      <c r="M2" s="185"/>
    </row>
    <row r="3" spans="1:13" ht="17" thickBot="1" x14ac:dyDescent="0.2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</row>
    <row r="4" spans="1:13" ht="24" customHeight="1" x14ac:dyDescent="0.2">
      <c r="A4" s="107"/>
      <c r="B4" s="187" t="s">
        <v>81</v>
      </c>
      <c r="C4" s="154"/>
      <c r="D4" s="87"/>
      <c r="E4" s="190" t="s">
        <v>99</v>
      </c>
      <c r="F4" s="169"/>
      <c r="G4" s="87"/>
      <c r="H4" s="173" t="s">
        <v>83</v>
      </c>
      <c r="I4" s="174"/>
      <c r="J4" s="87"/>
      <c r="K4" s="179" t="s">
        <v>85</v>
      </c>
      <c r="L4" s="164"/>
      <c r="M4" s="107"/>
    </row>
    <row r="5" spans="1:13" ht="32" customHeight="1" x14ac:dyDescent="0.2">
      <c r="A5" s="107"/>
      <c r="B5" s="188">
        <f>Ganancias!B4</f>
        <v>302900</v>
      </c>
      <c r="C5" s="156"/>
      <c r="D5" s="87"/>
      <c r="E5" s="191">
        <f>Ganancias!B5</f>
        <v>0</v>
      </c>
      <c r="F5" s="171"/>
      <c r="G5" s="87"/>
      <c r="H5" s="175">
        <f>Ganancias!B8</f>
        <v>0</v>
      </c>
      <c r="I5" s="176"/>
      <c r="J5" s="87"/>
      <c r="K5" s="180">
        <f>IFERROR(Ganancias!E8/100,0)</f>
        <v>0</v>
      </c>
      <c r="L5" s="166"/>
      <c r="M5" s="107"/>
    </row>
    <row r="6" spans="1:13" x14ac:dyDescent="0.2">
      <c r="A6" s="107"/>
      <c r="B6" s="157"/>
      <c r="C6" s="156"/>
      <c r="D6" s="87"/>
      <c r="E6" s="172"/>
      <c r="F6" s="171"/>
      <c r="G6" s="87"/>
      <c r="H6" s="177"/>
      <c r="I6" s="176"/>
      <c r="J6" s="87"/>
      <c r="K6" s="167"/>
      <c r="L6" s="166"/>
      <c r="M6" s="107"/>
    </row>
    <row r="7" spans="1:13" ht="18" customHeight="1" x14ac:dyDescent="0.2">
      <c r="A7" s="107"/>
      <c r="B7" s="189" t="s">
        <v>82</v>
      </c>
      <c r="C7" s="156"/>
      <c r="D7" s="87"/>
      <c r="E7" s="192" t="s">
        <v>100</v>
      </c>
      <c r="F7" s="171"/>
      <c r="G7" s="87"/>
      <c r="H7" s="178" t="s">
        <v>84</v>
      </c>
      <c r="I7" s="176"/>
      <c r="J7" s="87"/>
      <c r="K7" s="181" t="s">
        <v>101</v>
      </c>
      <c r="L7" s="166"/>
      <c r="M7" s="107"/>
    </row>
    <row r="8" spans="1:13" ht="10" customHeight="1" thickBot="1" x14ac:dyDescent="0.25">
      <c r="A8" s="107"/>
      <c r="B8" s="88"/>
      <c r="C8" s="89"/>
      <c r="D8" s="87"/>
      <c r="E8" s="90"/>
      <c r="F8" s="91"/>
      <c r="G8" s="87"/>
      <c r="H8" s="92"/>
      <c r="I8" s="93"/>
      <c r="J8" s="87"/>
      <c r="K8" s="94"/>
      <c r="L8" s="95"/>
      <c r="M8" s="107"/>
    </row>
    <row r="9" spans="1:13" ht="17" thickBot="1" x14ac:dyDescent="0.25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</row>
    <row r="10" spans="1:13" ht="20" customHeight="1" x14ac:dyDescent="0.2">
      <c r="A10" s="107"/>
      <c r="B10" s="163" t="s">
        <v>86</v>
      </c>
      <c r="C10" s="164"/>
      <c r="D10" s="87"/>
      <c r="E10" s="168" t="s">
        <v>87</v>
      </c>
      <c r="F10" s="169"/>
      <c r="G10" s="87"/>
      <c r="H10" s="153" t="s">
        <v>102</v>
      </c>
      <c r="I10" s="154"/>
      <c r="J10" s="87"/>
      <c r="K10" s="158" t="s">
        <v>88</v>
      </c>
      <c r="L10" s="159"/>
      <c r="M10" s="107"/>
    </row>
    <row r="11" spans="1:13" ht="28" customHeight="1" x14ac:dyDescent="0.2">
      <c r="A11" s="107"/>
      <c r="B11" s="165" cm="1">
        <f t="array" ref="B11">SUMPRODUCT((Ganancias!B11:B31)-(Ganancias!C11:C31))</f>
        <v>21</v>
      </c>
      <c r="C11" s="166"/>
      <c r="D11" s="87"/>
      <c r="E11" s="170">
        <f>Ganancias!C32</f>
        <v>0</v>
      </c>
      <c r="F11" s="171"/>
      <c r="G11" s="87"/>
      <c r="H11" s="155">
        <f>COUNTA(Precios!A4:A24)</f>
        <v>21</v>
      </c>
      <c r="I11" s="156"/>
      <c r="J11" s="87"/>
      <c r="K11" s="160">
        <f>3</f>
        <v>3</v>
      </c>
      <c r="L11" s="161"/>
      <c r="M11" s="107"/>
    </row>
    <row r="12" spans="1:13" x14ac:dyDescent="0.2">
      <c r="A12" s="107"/>
      <c r="B12" s="167"/>
      <c r="C12" s="166"/>
      <c r="D12" s="87"/>
      <c r="E12" s="172"/>
      <c r="F12" s="171"/>
      <c r="G12" s="87"/>
      <c r="H12" s="157"/>
      <c r="I12" s="156"/>
      <c r="J12" s="87"/>
      <c r="K12" s="162"/>
      <c r="L12" s="161"/>
      <c r="M12" s="107"/>
    </row>
    <row r="13" spans="1:13" x14ac:dyDescent="0.2">
      <c r="A13" s="107"/>
      <c r="B13" s="167"/>
      <c r="C13" s="166"/>
      <c r="D13" s="87"/>
      <c r="E13" s="172"/>
      <c r="F13" s="171"/>
      <c r="G13" s="87"/>
      <c r="H13" s="157"/>
      <c r="I13" s="156"/>
      <c r="J13" s="87"/>
      <c r="K13" s="162"/>
      <c r="L13" s="161"/>
      <c r="M13" s="107"/>
    </row>
    <row r="14" spans="1:13" ht="8" customHeight="1" thickBot="1" x14ac:dyDescent="0.25">
      <c r="A14" s="107"/>
      <c r="B14" s="94"/>
      <c r="C14" s="95"/>
      <c r="D14" s="87"/>
      <c r="E14" s="90"/>
      <c r="F14" s="91"/>
      <c r="G14" s="87"/>
      <c r="H14" s="88"/>
      <c r="I14" s="89"/>
      <c r="J14" s="87"/>
      <c r="K14" s="96"/>
      <c r="L14" s="97"/>
      <c r="M14" s="107"/>
    </row>
    <row r="15" spans="1:13" x14ac:dyDescent="0.2">
      <c r="A15" s="87"/>
      <c r="B15" s="87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</row>
    <row r="16" spans="1:13" ht="26" customHeight="1" x14ac:dyDescent="0.2">
      <c r="A16" s="107"/>
      <c r="B16" s="149" t="s">
        <v>103</v>
      </c>
      <c r="C16" s="148"/>
      <c r="D16" s="150"/>
      <c r="E16" s="148"/>
      <c r="F16" s="148"/>
      <c r="G16" s="87"/>
      <c r="H16" s="151" t="s">
        <v>104</v>
      </c>
      <c r="I16" s="143"/>
      <c r="J16" s="144"/>
      <c r="K16" s="143"/>
      <c r="L16" s="143"/>
      <c r="M16" s="107"/>
    </row>
    <row r="17" spans="1:13" x14ac:dyDescent="0.2">
      <c r="A17" s="107"/>
      <c r="B17" s="152" t="s">
        <v>1</v>
      </c>
      <c r="C17" s="152"/>
      <c r="D17" s="108" t="s">
        <v>105</v>
      </c>
      <c r="E17" s="98" t="s">
        <v>40</v>
      </c>
      <c r="F17" s="98" t="s">
        <v>41</v>
      </c>
      <c r="G17" s="87"/>
      <c r="H17" s="140" t="s">
        <v>1</v>
      </c>
      <c r="I17" s="140"/>
      <c r="J17" s="141"/>
      <c r="K17" s="102" t="s">
        <v>2</v>
      </c>
      <c r="L17" s="102" t="s">
        <v>106</v>
      </c>
      <c r="M17" s="107"/>
    </row>
    <row r="18" spans="1:13" ht="22" customHeight="1" x14ac:dyDescent="0.2">
      <c r="A18" s="107"/>
      <c r="B18" s="147" t="s">
        <v>48</v>
      </c>
      <c r="C18" s="148"/>
      <c r="D18" s="109" t="str">
        <f>Ganancias!E11</f>
        <v>🟡 Stock bajo</v>
      </c>
      <c r="E18" s="99">
        <f>Ganancias!B11</f>
        <v>1</v>
      </c>
      <c r="F18" s="99">
        <f>Ganancias!C11</f>
        <v>0</v>
      </c>
      <c r="G18" s="87"/>
      <c r="H18" s="142" t="s">
        <v>107</v>
      </c>
      <c r="I18" s="143"/>
      <c r="J18" s="144"/>
      <c r="K18" s="103">
        <f>Gastos!E7</f>
        <v>21900</v>
      </c>
      <c r="L18" s="104">
        <f>IFERROR(K18/Ganancias!B4*100,0)</f>
        <v>7.2301089468471442</v>
      </c>
      <c r="M18" s="107"/>
    </row>
    <row r="19" spans="1:13" ht="22" customHeight="1" x14ac:dyDescent="0.2">
      <c r="A19" s="107"/>
      <c r="B19" s="146" t="s">
        <v>49</v>
      </c>
      <c r="C19" s="148"/>
      <c r="D19" s="109" t="str">
        <f>Ganancias!E12</f>
        <v>🟡 Stock bajo</v>
      </c>
      <c r="E19" s="100">
        <f>Ganancias!B12</f>
        <v>1</v>
      </c>
      <c r="F19" s="100">
        <f>Ganancias!C12</f>
        <v>0</v>
      </c>
      <c r="G19" s="87"/>
      <c r="H19" s="145" t="s">
        <v>108</v>
      </c>
      <c r="I19" s="143"/>
      <c r="J19" s="144"/>
      <c r="K19" s="105">
        <f>Gastos!E6</f>
        <v>13900</v>
      </c>
      <c r="L19" s="106">
        <f>IFERROR(K19/Ganancias!B4*100,0)</f>
        <v>4.5889732585011558</v>
      </c>
      <c r="M19" s="107"/>
    </row>
    <row r="20" spans="1:13" ht="22" customHeight="1" x14ac:dyDescent="0.2">
      <c r="A20" s="107"/>
      <c r="B20" s="147" t="s">
        <v>50</v>
      </c>
      <c r="C20" s="148"/>
      <c r="D20" s="109" t="str">
        <f>Ganancias!E13</f>
        <v>🟡 Stock bajo</v>
      </c>
      <c r="E20" s="99">
        <f>Ganancias!B13</f>
        <v>1</v>
      </c>
      <c r="F20" s="99">
        <f>Ganancias!C13</f>
        <v>0</v>
      </c>
      <c r="G20" s="87"/>
      <c r="H20" s="142" t="s">
        <v>109</v>
      </c>
      <c r="I20" s="143"/>
      <c r="J20" s="144"/>
      <c r="K20" s="103">
        <f>Gastos!E12</f>
        <v>11900</v>
      </c>
      <c r="L20" s="104">
        <f>IFERROR(K20/Ganancias!B4*100,0)</f>
        <v>3.9286893364146582</v>
      </c>
      <c r="M20" s="107"/>
    </row>
    <row r="21" spans="1:13" ht="22" customHeight="1" x14ac:dyDescent="0.2">
      <c r="A21" s="107"/>
      <c r="B21" s="146" t="s">
        <v>51</v>
      </c>
      <c r="C21" s="148"/>
      <c r="D21" s="109" t="str">
        <f>Ganancias!E14</f>
        <v>🟡 Stock bajo</v>
      </c>
      <c r="E21" s="100">
        <f>Ganancias!B14</f>
        <v>1</v>
      </c>
      <c r="F21" s="100">
        <f>Ganancias!C14</f>
        <v>0</v>
      </c>
      <c r="G21" s="87"/>
      <c r="H21" s="145" t="s">
        <v>110</v>
      </c>
      <c r="I21" s="143"/>
      <c r="J21" s="144"/>
      <c r="K21" s="105">
        <f>Gastos!E5</f>
        <v>3900</v>
      </c>
      <c r="L21" s="106">
        <f>IFERROR(K21/Ganancias!B4*100,0)</f>
        <v>1.2875536480686696</v>
      </c>
      <c r="M21" s="107"/>
    </row>
    <row r="22" spans="1:13" ht="22" customHeight="1" x14ac:dyDescent="0.2">
      <c r="A22" s="107"/>
      <c r="B22" s="147" t="s">
        <v>52</v>
      </c>
      <c r="C22" s="148"/>
      <c r="D22" s="109" t="str">
        <f>Ganancias!E15</f>
        <v>🟡 Stock bajo</v>
      </c>
      <c r="E22" s="99">
        <f>Ganancias!B15</f>
        <v>1</v>
      </c>
      <c r="F22" s="99">
        <f>Ganancias!C15</f>
        <v>0</v>
      </c>
      <c r="G22" s="87"/>
      <c r="H22" s="142" t="s">
        <v>111</v>
      </c>
      <c r="I22" s="143"/>
      <c r="J22" s="144"/>
      <c r="K22" s="103">
        <f>Gastos!E21</f>
        <v>2900</v>
      </c>
      <c r="L22" s="104">
        <f>IFERROR(K22/Ganancias!B4*100,0)</f>
        <v>0.95741168702542101</v>
      </c>
      <c r="M22" s="107"/>
    </row>
    <row r="23" spans="1:13" ht="18" customHeight="1" x14ac:dyDescent="0.2">
      <c r="A23" s="107"/>
      <c r="B23" s="146" t="s">
        <v>53</v>
      </c>
      <c r="C23" s="146"/>
      <c r="D23" s="109" t="str">
        <f>Ganancias!E16</f>
        <v>🟡 Stock bajo</v>
      </c>
      <c r="E23" s="100">
        <f>Ganancias!B16</f>
        <v>1</v>
      </c>
      <c r="F23" s="100">
        <f>Ganancias!C16</f>
        <v>0</v>
      </c>
      <c r="G23" s="87"/>
      <c r="H23" s="101"/>
      <c r="I23" s="101"/>
      <c r="J23" s="110"/>
      <c r="K23" s="101"/>
      <c r="L23" s="101"/>
      <c r="M23" s="107"/>
    </row>
    <row r="24" spans="1:13" ht="18" customHeight="1" x14ac:dyDescent="0.2">
      <c r="A24" s="107"/>
      <c r="B24" s="147" t="s">
        <v>54</v>
      </c>
      <c r="C24" s="147"/>
      <c r="D24" s="109" t="str">
        <f>Ganancias!E17</f>
        <v>🟡 Stock bajo</v>
      </c>
      <c r="E24" s="99">
        <f>Ganancias!B17</f>
        <v>1</v>
      </c>
      <c r="F24" s="99">
        <f>Ganancias!C17</f>
        <v>0</v>
      </c>
      <c r="G24" s="87"/>
      <c r="J24" s="87"/>
      <c r="M24" s="107"/>
    </row>
    <row r="25" spans="1:13" ht="18" customHeight="1" x14ac:dyDescent="0.2">
      <c r="A25" s="107"/>
      <c r="B25" s="146" t="s">
        <v>55</v>
      </c>
      <c r="C25" s="146"/>
      <c r="D25" s="109" t="str">
        <f>Ganancias!E18</f>
        <v>🟡 Stock bajo</v>
      </c>
      <c r="E25" s="100">
        <f>Ganancias!B18</f>
        <v>1</v>
      </c>
      <c r="F25" s="100">
        <f>Ganancias!C18</f>
        <v>0</v>
      </c>
      <c r="G25" s="87"/>
      <c r="J25" s="87"/>
      <c r="M25" s="107"/>
    </row>
    <row r="26" spans="1:13" ht="18" customHeight="1" x14ac:dyDescent="0.2">
      <c r="A26" s="107"/>
      <c r="B26" s="147" t="s">
        <v>56</v>
      </c>
      <c r="C26" s="147"/>
      <c r="D26" s="109" t="str">
        <f>Ganancias!E19</f>
        <v>🟡 Stock bajo</v>
      </c>
      <c r="E26" s="99">
        <f>Ganancias!B19</f>
        <v>1</v>
      </c>
      <c r="F26" s="99">
        <f>Ganancias!C19</f>
        <v>0</v>
      </c>
      <c r="G26" s="87"/>
      <c r="J26" s="87"/>
      <c r="M26" s="107"/>
    </row>
    <row r="27" spans="1:13" ht="18" customHeight="1" x14ac:dyDescent="0.2">
      <c r="A27" s="107"/>
      <c r="B27" s="146" t="s">
        <v>57</v>
      </c>
      <c r="C27" s="146"/>
      <c r="D27" s="109" t="str">
        <f>Ganancias!E20</f>
        <v>🟡 Stock bajo</v>
      </c>
      <c r="E27" s="100">
        <f>Ganancias!B20</f>
        <v>1</v>
      </c>
      <c r="F27" s="100">
        <f>Ganancias!C20</f>
        <v>0</v>
      </c>
      <c r="G27" s="87"/>
      <c r="J27" s="87"/>
      <c r="M27" s="107"/>
    </row>
    <row r="28" spans="1:13" ht="18" customHeight="1" x14ac:dyDescent="0.2">
      <c r="A28" s="107"/>
      <c r="B28" s="147" t="s">
        <v>58</v>
      </c>
      <c r="C28" s="147"/>
      <c r="D28" s="109" t="str">
        <f>Ganancias!E21</f>
        <v>🟡 Stock bajo</v>
      </c>
      <c r="E28" s="99">
        <f>Ganancias!B21</f>
        <v>1</v>
      </c>
      <c r="F28" s="99">
        <f>Ganancias!C21</f>
        <v>0</v>
      </c>
      <c r="G28" s="87"/>
      <c r="J28" s="87"/>
      <c r="M28" s="107"/>
    </row>
    <row r="29" spans="1:13" ht="18" customHeight="1" x14ac:dyDescent="0.2">
      <c r="A29" s="107"/>
      <c r="B29" s="146" t="s">
        <v>59</v>
      </c>
      <c r="C29" s="146"/>
      <c r="D29" s="109" t="str">
        <f>Ganancias!E22</f>
        <v>🟡 Stock bajo</v>
      </c>
      <c r="E29" s="100">
        <f>Ganancias!B22</f>
        <v>1</v>
      </c>
      <c r="F29" s="100">
        <f>Ganancias!C22</f>
        <v>0</v>
      </c>
      <c r="G29" s="87"/>
      <c r="J29" s="87"/>
      <c r="M29" s="107"/>
    </row>
    <row r="30" spans="1:13" ht="18" customHeight="1" x14ac:dyDescent="0.2">
      <c r="A30" s="107"/>
      <c r="B30" s="147" t="s">
        <v>60</v>
      </c>
      <c r="C30" s="147"/>
      <c r="D30" s="109" t="str">
        <f>Ganancias!E23</f>
        <v>🟡 Stock bajo</v>
      </c>
      <c r="E30" s="99">
        <f>Ganancias!B23</f>
        <v>1</v>
      </c>
      <c r="F30" s="99">
        <f>Ganancias!C23</f>
        <v>0</v>
      </c>
      <c r="G30" s="87"/>
      <c r="J30" s="87"/>
      <c r="M30" s="107"/>
    </row>
    <row r="31" spans="1:13" ht="18" customHeight="1" x14ac:dyDescent="0.2">
      <c r="A31" s="107"/>
      <c r="B31" s="146" t="s">
        <v>61</v>
      </c>
      <c r="C31" s="146"/>
      <c r="D31" s="109" t="str">
        <f>Ganancias!E24</f>
        <v>🟡 Stock bajo</v>
      </c>
      <c r="E31" s="100">
        <f>Ganancias!B24</f>
        <v>1</v>
      </c>
      <c r="F31" s="100">
        <f>Ganancias!C24</f>
        <v>0</v>
      </c>
      <c r="G31" s="87"/>
      <c r="J31" s="87"/>
      <c r="M31" s="107"/>
    </row>
    <row r="32" spans="1:13" ht="18" customHeight="1" x14ac:dyDescent="0.2">
      <c r="A32" s="107"/>
      <c r="B32" s="147" t="s">
        <v>62</v>
      </c>
      <c r="C32" s="147"/>
      <c r="D32" s="109" t="str">
        <f>Ganancias!E25</f>
        <v>🟡 Stock bajo</v>
      </c>
      <c r="E32" s="99">
        <f>Ganancias!B25</f>
        <v>1</v>
      </c>
      <c r="F32" s="99">
        <f>Ganancias!C25</f>
        <v>0</v>
      </c>
      <c r="G32" s="87"/>
      <c r="J32" s="87"/>
      <c r="M32" s="107"/>
    </row>
    <row r="33" spans="1:13" ht="18" customHeight="1" x14ac:dyDescent="0.2">
      <c r="A33" s="107"/>
      <c r="B33" s="146" t="s">
        <v>63</v>
      </c>
      <c r="C33" s="146"/>
      <c r="D33" s="109" t="str">
        <f>Ganancias!E26</f>
        <v>🟡 Stock bajo</v>
      </c>
      <c r="E33" s="100">
        <f>Ganancias!B26</f>
        <v>1</v>
      </c>
      <c r="F33" s="100">
        <f>Ganancias!C26</f>
        <v>0</v>
      </c>
      <c r="G33" s="87"/>
      <c r="J33" s="87"/>
      <c r="M33" s="107"/>
    </row>
    <row r="34" spans="1:13" ht="18" customHeight="1" x14ac:dyDescent="0.2">
      <c r="A34" s="107"/>
      <c r="B34" s="147" t="s">
        <v>64</v>
      </c>
      <c r="C34" s="147"/>
      <c r="D34" s="109" t="str">
        <f>Ganancias!E27</f>
        <v>🟡 Stock bajo</v>
      </c>
      <c r="E34" s="99">
        <f>Ganancias!B27</f>
        <v>1</v>
      </c>
      <c r="F34" s="99">
        <f>Ganancias!C27</f>
        <v>0</v>
      </c>
      <c r="G34" s="87"/>
      <c r="J34" s="87"/>
      <c r="M34" s="107"/>
    </row>
    <row r="35" spans="1:13" ht="18" customHeight="1" x14ac:dyDescent="0.2">
      <c r="A35" s="107"/>
      <c r="B35" s="146" t="s">
        <v>65</v>
      </c>
      <c r="C35" s="146"/>
      <c r="D35" s="109" t="str">
        <f>Ganancias!E28</f>
        <v>🟡 Stock bajo</v>
      </c>
      <c r="E35" s="100">
        <f>Ganancias!B28</f>
        <v>1</v>
      </c>
      <c r="F35" s="100">
        <f>Ganancias!C28</f>
        <v>0</v>
      </c>
      <c r="G35" s="87"/>
      <c r="J35" s="87"/>
      <c r="M35" s="107"/>
    </row>
    <row r="36" spans="1:13" ht="18" customHeight="1" x14ac:dyDescent="0.2">
      <c r="A36" s="107"/>
      <c r="B36" s="147" t="s">
        <v>66</v>
      </c>
      <c r="C36" s="147"/>
      <c r="D36" s="109" t="str">
        <f>Ganancias!E29</f>
        <v>🟡 Stock bajo</v>
      </c>
      <c r="E36" s="99">
        <f>Ganancias!B29</f>
        <v>1</v>
      </c>
      <c r="F36" s="99">
        <f>Ganancias!C29</f>
        <v>0</v>
      </c>
      <c r="G36" s="87"/>
      <c r="J36" s="87"/>
      <c r="M36" s="107"/>
    </row>
    <row r="37" spans="1:13" ht="18" customHeight="1" x14ac:dyDescent="0.2">
      <c r="A37" s="107"/>
      <c r="B37" s="146" t="s">
        <v>67</v>
      </c>
      <c r="C37" s="146"/>
      <c r="D37" s="109" t="str">
        <f>Ganancias!E30</f>
        <v>🟡 Stock bajo</v>
      </c>
      <c r="E37" s="100">
        <f>Ganancias!B30</f>
        <v>1</v>
      </c>
      <c r="F37" s="100">
        <f>Ganancias!C30</f>
        <v>0</v>
      </c>
      <c r="G37" s="87"/>
      <c r="J37" s="87"/>
      <c r="M37" s="107"/>
    </row>
    <row r="38" spans="1:13" ht="18" customHeight="1" x14ac:dyDescent="0.2">
      <c r="A38" s="107"/>
      <c r="B38" s="147" t="s">
        <v>68</v>
      </c>
      <c r="C38" s="147"/>
      <c r="D38" s="109" t="str">
        <f>Ganancias!E31</f>
        <v>🟡 Stock bajo</v>
      </c>
      <c r="E38" s="99">
        <f>Ganancias!B31</f>
        <v>1</v>
      </c>
      <c r="F38" s="99">
        <f>Ganancias!C31</f>
        <v>0</v>
      </c>
      <c r="G38" s="87"/>
      <c r="J38" s="87"/>
      <c r="M38" s="107"/>
    </row>
    <row r="39" spans="1:13" ht="17" thickBot="1" x14ac:dyDescent="0.25">
      <c r="A39" s="87"/>
      <c r="B39" s="138" t="s">
        <v>45</v>
      </c>
      <c r="C39" s="139"/>
      <c r="D39" s="112"/>
      <c r="E39" s="113">
        <f>SUM(E18:E38)</f>
        <v>21</v>
      </c>
      <c r="F39" s="113">
        <f>SUM(F18:F38)</f>
        <v>0</v>
      </c>
      <c r="G39" s="87"/>
      <c r="H39" s="87"/>
      <c r="I39" s="87"/>
      <c r="J39" s="87"/>
      <c r="K39" s="87"/>
      <c r="L39" s="87"/>
      <c r="M39" s="87"/>
    </row>
    <row r="40" spans="1:13" x14ac:dyDescent="0.2">
      <c r="A40" s="107"/>
      <c r="B40" s="128" t="s">
        <v>96</v>
      </c>
      <c r="C40" s="129"/>
      <c r="D40" s="130"/>
      <c r="E40" s="129"/>
      <c r="F40" s="131"/>
      <c r="G40" s="87"/>
      <c r="H40" s="132" t="s">
        <v>97</v>
      </c>
      <c r="I40" s="133"/>
      <c r="J40" s="134"/>
      <c r="K40" s="133"/>
      <c r="L40" s="135"/>
      <c r="M40" s="107"/>
    </row>
    <row r="41" spans="1:13" x14ac:dyDescent="0.2">
      <c r="A41" s="107"/>
      <c r="B41" s="115"/>
      <c r="C41" s="111"/>
      <c r="D41" s="111"/>
      <c r="E41" s="111"/>
      <c r="F41" s="117"/>
      <c r="G41" s="87"/>
      <c r="H41" s="121"/>
      <c r="I41" s="119"/>
      <c r="J41" s="119"/>
      <c r="K41" s="119"/>
      <c r="L41" s="123"/>
      <c r="M41" s="107"/>
    </row>
    <row r="42" spans="1:13" x14ac:dyDescent="0.2">
      <c r="A42" s="107"/>
      <c r="B42" s="115"/>
      <c r="C42" s="111"/>
      <c r="D42" s="111"/>
      <c r="E42" s="111"/>
      <c r="F42" s="117"/>
      <c r="G42" s="87"/>
      <c r="H42" s="121"/>
      <c r="I42" s="119"/>
      <c r="J42" s="119"/>
      <c r="K42" s="119"/>
      <c r="L42" s="123"/>
      <c r="M42" s="107"/>
    </row>
    <row r="43" spans="1:13" x14ac:dyDescent="0.2">
      <c r="A43" s="107"/>
      <c r="B43" s="115"/>
      <c r="C43" s="111"/>
      <c r="D43" s="111"/>
      <c r="E43" s="111"/>
      <c r="F43" s="117"/>
      <c r="G43" s="87"/>
      <c r="H43" s="121"/>
      <c r="I43" s="119"/>
      <c r="J43" s="119"/>
      <c r="K43" s="119"/>
      <c r="L43" s="123"/>
      <c r="M43" s="107"/>
    </row>
    <row r="44" spans="1:13" x14ac:dyDescent="0.2">
      <c r="A44" s="107"/>
      <c r="B44" s="115"/>
      <c r="C44" s="111"/>
      <c r="D44" s="111"/>
      <c r="E44" s="111"/>
      <c r="F44" s="117"/>
      <c r="G44" s="87"/>
      <c r="H44" s="121"/>
      <c r="I44" s="119"/>
      <c r="J44" s="119"/>
      <c r="K44" s="119"/>
      <c r="L44" s="123"/>
      <c r="M44" s="107"/>
    </row>
    <row r="45" spans="1:13" x14ac:dyDescent="0.2">
      <c r="A45" s="107"/>
      <c r="B45" s="115"/>
      <c r="C45" s="111"/>
      <c r="D45" s="111"/>
      <c r="E45" s="111"/>
      <c r="F45" s="117"/>
      <c r="G45" s="87"/>
      <c r="H45" s="121"/>
      <c r="I45" s="119"/>
      <c r="J45" s="119"/>
      <c r="K45" s="119"/>
      <c r="L45" s="123"/>
      <c r="M45" s="107"/>
    </row>
    <row r="46" spans="1:13" x14ac:dyDescent="0.2">
      <c r="A46" s="107"/>
      <c r="B46" s="115"/>
      <c r="C46" s="111"/>
      <c r="D46" s="111"/>
      <c r="E46" s="111"/>
      <c r="F46" s="117"/>
      <c r="G46" s="87"/>
      <c r="H46" s="121"/>
      <c r="I46" s="119"/>
      <c r="J46" s="119"/>
      <c r="K46" s="119"/>
      <c r="L46" s="123"/>
      <c r="M46" s="107"/>
    </row>
    <row r="47" spans="1:13" x14ac:dyDescent="0.2">
      <c r="A47" s="107"/>
      <c r="B47" s="115"/>
      <c r="C47" s="111"/>
      <c r="D47" s="111"/>
      <c r="E47" s="111"/>
      <c r="F47" s="117"/>
      <c r="G47" s="87"/>
      <c r="H47" s="121"/>
      <c r="I47" s="119"/>
      <c r="J47" s="119"/>
      <c r="K47" s="119"/>
      <c r="L47" s="123"/>
      <c r="M47" s="107"/>
    </row>
    <row r="48" spans="1:13" x14ac:dyDescent="0.2">
      <c r="A48" s="107"/>
      <c r="B48" s="115"/>
      <c r="C48" s="111"/>
      <c r="D48" s="111"/>
      <c r="E48" s="111"/>
      <c r="F48" s="117"/>
      <c r="G48" s="87"/>
      <c r="H48" s="121"/>
      <c r="I48" s="119"/>
      <c r="J48" s="119"/>
      <c r="K48" s="119"/>
      <c r="L48" s="123"/>
      <c r="M48" s="107"/>
    </row>
    <row r="49" spans="1:13" x14ac:dyDescent="0.2">
      <c r="A49" s="107"/>
      <c r="B49" s="115"/>
      <c r="C49" s="111"/>
      <c r="D49" s="111"/>
      <c r="E49" s="111"/>
      <c r="F49" s="117"/>
      <c r="G49" s="87"/>
      <c r="H49" s="121"/>
      <c r="I49" s="119"/>
      <c r="J49" s="119"/>
      <c r="K49" s="119"/>
      <c r="L49" s="123"/>
      <c r="M49" s="107"/>
    </row>
    <row r="50" spans="1:13" x14ac:dyDescent="0.2">
      <c r="A50" s="107"/>
      <c r="B50" s="115"/>
      <c r="C50" s="111"/>
      <c r="D50" s="111"/>
      <c r="E50" s="111"/>
      <c r="F50" s="117"/>
      <c r="G50" s="87"/>
      <c r="H50" s="121"/>
      <c r="I50" s="119"/>
      <c r="J50" s="119"/>
      <c r="K50" s="119"/>
      <c r="L50" s="123"/>
      <c r="M50" s="107"/>
    </row>
    <row r="51" spans="1:13" x14ac:dyDescent="0.2">
      <c r="A51" s="107"/>
      <c r="B51" s="115"/>
      <c r="C51" s="111"/>
      <c r="D51" s="111"/>
      <c r="E51" s="111"/>
      <c r="F51" s="117"/>
      <c r="G51" s="87"/>
      <c r="H51" s="121"/>
      <c r="I51" s="119"/>
      <c r="J51" s="119"/>
      <c r="K51" s="119"/>
      <c r="L51" s="123"/>
      <c r="M51" s="107"/>
    </row>
    <row r="52" spans="1:13" x14ac:dyDescent="0.2">
      <c r="A52" s="107"/>
      <c r="B52" s="115"/>
      <c r="C52" s="111"/>
      <c r="D52" s="111"/>
      <c r="E52" s="111"/>
      <c r="F52" s="117"/>
      <c r="G52" s="87"/>
      <c r="H52" s="121"/>
      <c r="I52" s="119"/>
      <c r="J52" s="119"/>
      <c r="K52" s="119"/>
      <c r="L52" s="123"/>
      <c r="M52" s="107"/>
    </row>
    <row r="53" spans="1:13" x14ac:dyDescent="0.2">
      <c r="A53" s="107"/>
      <c r="B53" s="115"/>
      <c r="C53" s="111"/>
      <c r="D53" s="111"/>
      <c r="E53" s="111"/>
      <c r="F53" s="117"/>
      <c r="G53" s="87"/>
      <c r="H53" s="121"/>
      <c r="I53" s="119"/>
      <c r="J53" s="119"/>
      <c r="K53" s="119"/>
      <c r="L53" s="123"/>
      <c r="M53" s="107"/>
    </row>
    <row r="54" spans="1:13" x14ac:dyDescent="0.2">
      <c r="A54" s="107"/>
      <c r="B54" s="115"/>
      <c r="C54" s="111"/>
      <c r="D54" s="111"/>
      <c r="E54" s="111"/>
      <c r="F54" s="117"/>
      <c r="G54" s="87"/>
      <c r="H54" s="121"/>
      <c r="I54" s="119"/>
      <c r="J54" s="119"/>
      <c r="K54" s="119"/>
      <c r="L54" s="123"/>
      <c r="M54" s="107"/>
    </row>
    <row r="55" spans="1:13" x14ac:dyDescent="0.2">
      <c r="A55" s="107"/>
      <c r="B55" s="115"/>
      <c r="C55" s="111"/>
      <c r="D55" s="111"/>
      <c r="E55" s="111"/>
      <c r="F55" s="117"/>
      <c r="G55" s="87"/>
      <c r="H55" s="121"/>
      <c r="I55" s="119"/>
      <c r="J55" s="119"/>
      <c r="K55" s="119"/>
      <c r="L55" s="123"/>
      <c r="M55" s="107"/>
    </row>
    <row r="56" spans="1:13" x14ac:dyDescent="0.2">
      <c r="A56" s="107"/>
      <c r="B56" s="115"/>
      <c r="C56" s="111"/>
      <c r="D56" s="111"/>
      <c r="E56" s="111"/>
      <c r="F56" s="117"/>
      <c r="G56" s="87"/>
      <c r="H56" s="121"/>
      <c r="I56" s="119"/>
      <c r="J56" s="119"/>
      <c r="K56" s="119"/>
      <c r="L56" s="123"/>
      <c r="M56" s="107"/>
    </row>
    <row r="57" spans="1:13" x14ac:dyDescent="0.2">
      <c r="A57" s="107"/>
      <c r="B57" s="115"/>
      <c r="C57" s="111"/>
      <c r="D57" s="111"/>
      <c r="E57" s="111"/>
      <c r="F57" s="117"/>
      <c r="G57" s="87"/>
      <c r="H57" s="121"/>
      <c r="I57" s="119"/>
      <c r="J57" s="119"/>
      <c r="K57" s="119"/>
      <c r="L57" s="123"/>
      <c r="M57" s="107"/>
    </row>
    <row r="58" spans="1:13" x14ac:dyDescent="0.2">
      <c r="A58" s="107"/>
      <c r="B58" s="115"/>
      <c r="C58" s="111"/>
      <c r="D58" s="111"/>
      <c r="E58" s="111"/>
      <c r="F58" s="117"/>
      <c r="G58" s="87"/>
      <c r="H58" s="121"/>
      <c r="I58" s="119"/>
      <c r="J58" s="119"/>
      <c r="K58" s="119"/>
      <c r="L58" s="123"/>
      <c r="M58" s="107"/>
    </row>
    <row r="59" spans="1:13" x14ac:dyDescent="0.2">
      <c r="A59" s="107"/>
      <c r="B59" s="115"/>
      <c r="C59" s="111"/>
      <c r="D59" s="111"/>
      <c r="E59" s="111"/>
      <c r="F59" s="117"/>
      <c r="G59" s="87"/>
      <c r="H59" s="121"/>
      <c r="I59" s="119"/>
      <c r="J59" s="119"/>
      <c r="K59" s="119"/>
      <c r="L59" s="123"/>
      <c r="M59" s="107"/>
    </row>
    <row r="60" spans="1:13" x14ac:dyDescent="0.2">
      <c r="A60" s="107"/>
      <c r="B60" s="115"/>
      <c r="C60" s="111"/>
      <c r="D60" s="111"/>
      <c r="E60" s="111"/>
      <c r="F60" s="117"/>
      <c r="G60" s="87"/>
      <c r="H60" s="121"/>
      <c r="I60" s="119"/>
      <c r="J60" s="119"/>
      <c r="K60" s="119"/>
      <c r="L60" s="123"/>
      <c r="M60" s="107"/>
    </row>
    <row r="61" spans="1:13" x14ac:dyDescent="0.2">
      <c r="A61" s="107"/>
      <c r="B61" s="115"/>
      <c r="C61" s="111"/>
      <c r="D61" s="111"/>
      <c r="E61" s="111"/>
      <c r="F61" s="117"/>
      <c r="G61" s="87"/>
      <c r="H61" s="121"/>
      <c r="I61" s="119"/>
      <c r="J61" s="119"/>
      <c r="K61" s="119"/>
      <c r="L61" s="123"/>
      <c r="M61" s="107"/>
    </row>
    <row r="62" spans="1:13" ht="17" thickBot="1" x14ac:dyDescent="0.25">
      <c r="A62" s="107"/>
      <c r="B62" s="116"/>
      <c r="C62" s="114"/>
      <c r="D62" s="114"/>
      <c r="E62" s="114"/>
      <c r="F62" s="118"/>
      <c r="G62" s="87"/>
      <c r="H62" s="122"/>
      <c r="I62" s="120"/>
      <c r="J62" s="120"/>
      <c r="K62" s="120"/>
      <c r="L62" s="124"/>
      <c r="M62" s="107"/>
    </row>
    <row r="63" spans="1:13" x14ac:dyDescent="0.2">
      <c r="A63" s="136" t="s">
        <v>128</v>
      </c>
      <c r="B63" s="136"/>
      <c r="C63" s="136"/>
      <c r="D63" s="137"/>
      <c r="E63" s="136"/>
      <c r="F63" s="136"/>
      <c r="G63" s="137"/>
      <c r="H63" s="136"/>
      <c r="I63" s="136"/>
      <c r="J63" s="137"/>
      <c r="K63" s="136"/>
      <c r="L63" s="136"/>
      <c r="M63" s="136"/>
    </row>
  </sheetData>
  <mergeCells count="56">
    <mergeCell ref="A1:M1"/>
    <mergeCell ref="A2:M2"/>
    <mergeCell ref="B4:C4"/>
    <mergeCell ref="B5:C6"/>
    <mergeCell ref="B7:C7"/>
    <mergeCell ref="E4:F4"/>
    <mergeCell ref="E5:F6"/>
    <mergeCell ref="E7:F7"/>
    <mergeCell ref="H4:I4"/>
    <mergeCell ref="H5:I6"/>
    <mergeCell ref="H7:I7"/>
    <mergeCell ref="K4:L4"/>
    <mergeCell ref="K5:L6"/>
    <mergeCell ref="K7:L7"/>
    <mergeCell ref="B20:C20"/>
    <mergeCell ref="H10:I10"/>
    <mergeCell ref="H11:I13"/>
    <mergeCell ref="K10:L10"/>
    <mergeCell ref="K11:L13"/>
    <mergeCell ref="B10:C10"/>
    <mergeCell ref="B11:C13"/>
    <mergeCell ref="E10:F10"/>
    <mergeCell ref="E11:F13"/>
    <mergeCell ref="B16:F16"/>
    <mergeCell ref="H16:L16"/>
    <mergeCell ref="B17:C17"/>
    <mergeCell ref="B18:C18"/>
    <mergeCell ref="B19:C19"/>
    <mergeCell ref="B32:C32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40:F40"/>
    <mergeCell ref="H40:L40"/>
    <mergeCell ref="A63:M63"/>
    <mergeCell ref="B39:C39"/>
    <mergeCell ref="H17:J17"/>
    <mergeCell ref="H18:J18"/>
    <mergeCell ref="H19:J19"/>
    <mergeCell ref="H20:J20"/>
    <mergeCell ref="H21:J21"/>
    <mergeCell ref="H22:J22"/>
    <mergeCell ref="B33:C33"/>
    <mergeCell ref="B34:C34"/>
    <mergeCell ref="B35:C35"/>
    <mergeCell ref="B36:C36"/>
    <mergeCell ref="B37:C37"/>
    <mergeCell ref="B38:C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1D199-A7CC-8F48-A9F0-EAB62BB6C1C1}">
  <dimension ref="A1:E27"/>
  <sheetViews>
    <sheetView zoomScale="130" zoomScaleNormal="130" workbookViewId="0">
      <pane ySplit="3" topLeftCell="A4" activePane="bottomLeft" state="frozen"/>
      <selection pane="bottomLeft" activeCell="C6" sqref="C6"/>
    </sheetView>
  </sheetViews>
  <sheetFormatPr baseColWidth="10" defaultRowHeight="16" x14ac:dyDescent="0.2"/>
  <cols>
    <col min="1" max="1" width="30" bestFit="1" customWidth="1"/>
    <col min="2" max="2" width="16.33203125" customWidth="1"/>
    <col min="3" max="3" width="9.5" bestFit="1" customWidth="1"/>
    <col min="4" max="4" width="22.33203125" customWidth="1"/>
    <col min="5" max="5" width="19.5" bestFit="1" customWidth="1"/>
  </cols>
  <sheetData>
    <row r="1" spans="1:5" ht="36" customHeight="1" x14ac:dyDescent="0.25">
      <c r="A1" s="193" t="s">
        <v>0</v>
      </c>
      <c r="B1" s="193"/>
      <c r="C1" s="193"/>
      <c r="D1" s="193"/>
      <c r="E1" s="193"/>
    </row>
    <row r="2" spans="1:5" ht="22" customHeight="1" x14ac:dyDescent="0.2">
      <c r="A2" s="194" t="s">
        <v>79</v>
      </c>
      <c r="B2" s="194"/>
      <c r="C2" s="194"/>
      <c r="D2" s="194"/>
      <c r="E2" s="194"/>
    </row>
    <row r="3" spans="1:5" ht="28" customHeight="1" x14ac:dyDescent="0.2">
      <c r="A3" s="21" t="s">
        <v>1</v>
      </c>
      <c r="B3" s="21" t="s">
        <v>80</v>
      </c>
      <c r="C3" s="21" t="s">
        <v>3</v>
      </c>
      <c r="D3" s="21" t="s">
        <v>4</v>
      </c>
      <c r="E3" s="21" t="s">
        <v>5</v>
      </c>
    </row>
    <row r="4" spans="1:5" ht="22" customHeight="1" x14ac:dyDescent="0.2">
      <c r="A4" s="22" t="s">
        <v>48</v>
      </c>
      <c r="B4" s="83">
        <v>11900</v>
      </c>
      <c r="C4" s="23">
        <v>0.3</v>
      </c>
      <c r="D4" s="85">
        <f t="shared" ref="D4:D24" si="0">IF(OR(B4="",C4=""),"⚠ Completar costo y margen",B4/(1-C4))</f>
        <v>17000</v>
      </c>
      <c r="E4" s="24">
        <f t="shared" ref="E4:E24" si="1">IF(OR(B4="",C4=""),"",D4-B4)</f>
        <v>5100</v>
      </c>
    </row>
    <row r="5" spans="1:5" ht="22" customHeight="1" x14ac:dyDescent="0.2">
      <c r="A5" s="25" t="s">
        <v>49</v>
      </c>
      <c r="B5" s="84">
        <v>3900</v>
      </c>
      <c r="C5" s="23">
        <v>0.6</v>
      </c>
      <c r="D5" s="86">
        <f t="shared" si="0"/>
        <v>9750</v>
      </c>
      <c r="E5" s="26">
        <f t="shared" si="1"/>
        <v>5850</v>
      </c>
    </row>
    <row r="6" spans="1:5" ht="22" customHeight="1" x14ac:dyDescent="0.2">
      <c r="A6" s="22" t="s">
        <v>50</v>
      </c>
      <c r="B6" s="83">
        <v>13900</v>
      </c>
      <c r="C6" s="23"/>
      <c r="D6" s="85" t="str">
        <f t="shared" si="0"/>
        <v>⚠ Completar costo y margen</v>
      </c>
      <c r="E6" s="24" t="str">
        <f t="shared" si="1"/>
        <v/>
      </c>
    </row>
    <row r="7" spans="1:5" ht="22" customHeight="1" x14ac:dyDescent="0.2">
      <c r="A7" s="25" t="s">
        <v>51</v>
      </c>
      <c r="B7" s="84">
        <v>21900</v>
      </c>
      <c r="C7" s="23"/>
      <c r="D7" s="86" t="str">
        <f t="shared" si="0"/>
        <v>⚠ Completar costo y margen</v>
      </c>
      <c r="E7" s="26" t="str">
        <f t="shared" si="1"/>
        <v/>
      </c>
    </row>
    <row r="8" spans="1:5" ht="22" customHeight="1" x14ac:dyDescent="0.2">
      <c r="A8" s="22" t="s">
        <v>52</v>
      </c>
      <c r="B8" s="83">
        <v>25900</v>
      </c>
      <c r="C8" s="23"/>
      <c r="D8" s="85" t="str">
        <f t="shared" si="0"/>
        <v>⚠ Completar costo y margen</v>
      </c>
      <c r="E8" s="24" t="str">
        <f t="shared" si="1"/>
        <v/>
      </c>
    </row>
    <row r="9" spans="1:5" ht="22" customHeight="1" x14ac:dyDescent="0.2">
      <c r="A9" s="25" t="s">
        <v>53</v>
      </c>
      <c r="B9" s="84">
        <v>29900</v>
      </c>
      <c r="C9" s="23"/>
      <c r="D9" s="86" t="str">
        <f t="shared" si="0"/>
        <v>⚠ Completar costo y margen</v>
      </c>
      <c r="E9" s="26" t="str">
        <f t="shared" si="1"/>
        <v/>
      </c>
    </row>
    <row r="10" spans="1:5" ht="22" customHeight="1" x14ac:dyDescent="0.2">
      <c r="A10" s="22" t="s">
        <v>54</v>
      </c>
      <c r="B10" s="83">
        <v>32900</v>
      </c>
      <c r="C10" s="23"/>
      <c r="D10" s="85" t="str">
        <f t="shared" si="0"/>
        <v>⚠ Completar costo y margen</v>
      </c>
      <c r="E10" s="24" t="str">
        <f t="shared" si="1"/>
        <v/>
      </c>
    </row>
    <row r="11" spans="1:5" ht="22" customHeight="1" x14ac:dyDescent="0.2">
      <c r="A11" s="25" t="s">
        <v>55</v>
      </c>
      <c r="B11" s="84">
        <v>23900</v>
      </c>
      <c r="C11" s="23"/>
      <c r="D11" s="86" t="str">
        <f t="shared" si="0"/>
        <v>⚠ Completar costo y margen</v>
      </c>
      <c r="E11" s="26" t="str">
        <f t="shared" si="1"/>
        <v/>
      </c>
    </row>
    <row r="12" spans="1:5" ht="22" customHeight="1" x14ac:dyDescent="0.2">
      <c r="A12" s="22" t="s">
        <v>56</v>
      </c>
      <c r="B12" s="83">
        <v>11900</v>
      </c>
      <c r="C12" s="23"/>
      <c r="D12" s="85" t="str">
        <f t="shared" si="0"/>
        <v>⚠ Completar costo y margen</v>
      </c>
      <c r="E12" s="24" t="str">
        <f t="shared" si="1"/>
        <v/>
      </c>
    </row>
    <row r="13" spans="1:5" ht="22" customHeight="1" x14ac:dyDescent="0.2">
      <c r="A13" s="25" t="s">
        <v>57</v>
      </c>
      <c r="B13" s="84">
        <v>25900</v>
      </c>
      <c r="C13" s="23"/>
      <c r="D13" s="86" t="str">
        <f t="shared" si="0"/>
        <v>⚠ Completar costo y margen</v>
      </c>
      <c r="E13" s="26" t="str">
        <f t="shared" si="1"/>
        <v/>
      </c>
    </row>
    <row r="14" spans="1:5" ht="22" customHeight="1" x14ac:dyDescent="0.2">
      <c r="A14" s="22" t="s">
        <v>58</v>
      </c>
      <c r="B14" s="83">
        <v>24900</v>
      </c>
      <c r="C14" s="23"/>
      <c r="D14" s="85" t="str">
        <f t="shared" si="0"/>
        <v>⚠ Completar costo y margen</v>
      </c>
      <c r="E14" s="24" t="str">
        <f t="shared" si="1"/>
        <v/>
      </c>
    </row>
    <row r="15" spans="1:5" ht="22" customHeight="1" x14ac:dyDescent="0.2">
      <c r="A15" s="25" t="s">
        <v>59</v>
      </c>
      <c r="B15" s="84">
        <v>26900</v>
      </c>
      <c r="C15" s="23"/>
      <c r="D15" s="86" t="str">
        <f t="shared" si="0"/>
        <v>⚠ Completar costo y margen</v>
      </c>
      <c r="E15" s="26" t="str">
        <f t="shared" si="1"/>
        <v/>
      </c>
    </row>
    <row r="16" spans="1:5" ht="22" customHeight="1" x14ac:dyDescent="0.2">
      <c r="A16" s="22" t="s">
        <v>60</v>
      </c>
      <c r="B16" s="83">
        <v>2900</v>
      </c>
      <c r="C16" s="23"/>
      <c r="D16" s="85" t="str">
        <f t="shared" si="0"/>
        <v>⚠ Completar costo y margen</v>
      </c>
      <c r="E16" s="24" t="str">
        <f t="shared" si="1"/>
        <v/>
      </c>
    </row>
    <row r="17" spans="1:5" ht="22" customHeight="1" x14ac:dyDescent="0.2">
      <c r="A17" s="25" t="s">
        <v>61</v>
      </c>
      <c r="B17" s="84">
        <v>2900</v>
      </c>
      <c r="C17" s="23"/>
      <c r="D17" s="86" t="str">
        <f t="shared" si="0"/>
        <v>⚠ Completar costo y margen</v>
      </c>
      <c r="E17" s="26" t="str">
        <f t="shared" si="1"/>
        <v/>
      </c>
    </row>
    <row r="18" spans="1:5" ht="22" customHeight="1" x14ac:dyDescent="0.2">
      <c r="A18" s="22" t="s">
        <v>62</v>
      </c>
      <c r="B18" s="83">
        <v>2900</v>
      </c>
      <c r="C18" s="23"/>
      <c r="D18" s="85" t="str">
        <f t="shared" si="0"/>
        <v>⚠ Completar costo y margen</v>
      </c>
      <c r="E18" s="24" t="str">
        <f t="shared" si="1"/>
        <v/>
      </c>
    </row>
    <row r="19" spans="1:5" ht="22" customHeight="1" x14ac:dyDescent="0.2">
      <c r="A19" s="25" t="s">
        <v>63</v>
      </c>
      <c r="B19" s="84">
        <v>5800</v>
      </c>
      <c r="C19" s="23"/>
      <c r="D19" s="86" t="str">
        <f t="shared" si="0"/>
        <v>⚠ Completar costo y margen</v>
      </c>
      <c r="E19" s="26" t="str">
        <f t="shared" si="1"/>
        <v/>
      </c>
    </row>
    <row r="20" spans="1:5" ht="22" customHeight="1" x14ac:dyDescent="0.2">
      <c r="A20" s="22" t="s">
        <v>64</v>
      </c>
      <c r="B20" s="83">
        <v>2900</v>
      </c>
      <c r="C20" s="23"/>
      <c r="D20" s="85" t="str">
        <f t="shared" si="0"/>
        <v>⚠ Completar costo y margen</v>
      </c>
      <c r="E20" s="24" t="str">
        <f t="shared" si="1"/>
        <v/>
      </c>
    </row>
    <row r="21" spans="1:5" ht="22" customHeight="1" x14ac:dyDescent="0.2">
      <c r="A21" s="25" t="s">
        <v>65</v>
      </c>
      <c r="B21" s="84">
        <v>2900</v>
      </c>
      <c r="C21" s="23"/>
      <c r="D21" s="86" t="str">
        <f t="shared" si="0"/>
        <v>⚠ Completar costo y margen</v>
      </c>
      <c r="E21" s="26" t="str">
        <f t="shared" si="1"/>
        <v/>
      </c>
    </row>
    <row r="22" spans="1:5" ht="22" customHeight="1" x14ac:dyDescent="0.2">
      <c r="A22" s="22" t="s">
        <v>66</v>
      </c>
      <c r="B22" s="83">
        <v>2900</v>
      </c>
      <c r="C22" s="23"/>
      <c r="D22" s="85" t="str">
        <f t="shared" si="0"/>
        <v>⚠ Completar costo y margen</v>
      </c>
      <c r="E22" s="24" t="str">
        <f t="shared" si="1"/>
        <v/>
      </c>
    </row>
    <row r="23" spans="1:5" ht="22" customHeight="1" x14ac:dyDescent="0.2">
      <c r="A23" s="25" t="s">
        <v>67</v>
      </c>
      <c r="B23" s="84">
        <v>3900</v>
      </c>
      <c r="C23" s="23"/>
      <c r="D23" s="86" t="str">
        <f t="shared" si="0"/>
        <v>⚠ Completar costo y margen</v>
      </c>
      <c r="E23" s="26" t="str">
        <f t="shared" si="1"/>
        <v/>
      </c>
    </row>
    <row r="24" spans="1:5" ht="22" customHeight="1" x14ac:dyDescent="0.2">
      <c r="A24" s="22" t="s">
        <v>68</v>
      </c>
      <c r="B24" s="83">
        <v>22000</v>
      </c>
      <c r="C24" s="23"/>
      <c r="D24" s="85" t="str">
        <f t="shared" si="0"/>
        <v>⚠ Completar costo y margen</v>
      </c>
      <c r="E24" s="24" t="str">
        <f t="shared" si="1"/>
        <v/>
      </c>
    </row>
    <row r="26" spans="1:5" x14ac:dyDescent="0.2">
      <c r="A26" s="195" t="s">
        <v>6</v>
      </c>
      <c r="B26" s="195"/>
      <c r="C26" s="195"/>
      <c r="D26" s="195"/>
      <c r="E26" s="195"/>
    </row>
    <row r="27" spans="1:5" x14ac:dyDescent="0.2">
      <c r="A27" s="196" t="s">
        <v>69</v>
      </c>
      <c r="B27" s="196"/>
      <c r="C27" s="196"/>
      <c r="D27" s="196"/>
      <c r="E27" s="196"/>
    </row>
  </sheetData>
  <autoFilter ref="A3:E24" xr:uid="{DA01D199-A7CC-8F48-A9F0-EAB62BB6C1C1}"/>
  <mergeCells count="4">
    <mergeCell ref="A1:E1"/>
    <mergeCell ref="A2:E2"/>
    <mergeCell ref="A26:E26"/>
    <mergeCell ref="A27:E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0B00-D8F0-5344-A358-9706A1869FEC}">
  <dimension ref="A1:F31"/>
  <sheetViews>
    <sheetView workbookViewId="0">
      <pane ySplit="3" topLeftCell="A4" activePane="bottomLeft" state="frozen"/>
      <selection pane="bottomLeft" activeCell="F30" sqref="F30"/>
    </sheetView>
  </sheetViews>
  <sheetFormatPr baseColWidth="10" defaultRowHeight="16" x14ac:dyDescent="0.2"/>
  <cols>
    <col min="1" max="1" width="16.1640625" customWidth="1"/>
    <col min="2" max="2" width="29" customWidth="1"/>
    <col min="3" max="3" width="25" customWidth="1"/>
    <col min="4" max="4" width="27.33203125" customWidth="1"/>
    <col min="5" max="5" width="20.33203125" customWidth="1"/>
    <col min="6" max="6" width="32.33203125" customWidth="1"/>
  </cols>
  <sheetData>
    <row r="1" spans="1:6" ht="36" customHeight="1" x14ac:dyDescent="0.25">
      <c r="A1" s="193" t="s">
        <v>7</v>
      </c>
      <c r="B1" s="193"/>
      <c r="C1" s="193"/>
      <c r="D1" s="193"/>
      <c r="E1" s="193"/>
      <c r="F1" s="193"/>
    </row>
    <row r="2" spans="1:6" ht="22" customHeight="1" x14ac:dyDescent="0.2">
      <c r="A2" s="194" t="s">
        <v>8</v>
      </c>
      <c r="B2" s="194"/>
      <c r="C2" s="194"/>
      <c r="D2" s="194"/>
      <c r="E2" s="194"/>
      <c r="F2" s="194"/>
    </row>
    <row r="3" spans="1:6" ht="28" customHeight="1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</row>
    <row r="4" spans="1:6" ht="22" customHeight="1" x14ac:dyDescent="0.2">
      <c r="A4" s="27">
        <v>45717</v>
      </c>
      <c r="B4" s="28" t="s">
        <v>48</v>
      </c>
      <c r="C4" s="29">
        <v>1</v>
      </c>
      <c r="D4" s="30">
        <v>11900</v>
      </c>
      <c r="E4" s="31">
        <f t="shared" ref="E4:E24" si="0">C4*D4</f>
        <v>11900</v>
      </c>
      <c r="F4" s="32" t="s">
        <v>70</v>
      </c>
    </row>
    <row r="5" spans="1:6" ht="22" customHeight="1" x14ac:dyDescent="0.2">
      <c r="A5" s="27">
        <v>45717</v>
      </c>
      <c r="B5" s="28" t="s">
        <v>49</v>
      </c>
      <c r="C5" s="29">
        <v>1</v>
      </c>
      <c r="D5" s="30">
        <v>3900</v>
      </c>
      <c r="E5" s="31">
        <f t="shared" si="0"/>
        <v>3900</v>
      </c>
      <c r="F5" s="32" t="s">
        <v>70</v>
      </c>
    </row>
    <row r="6" spans="1:6" ht="22" customHeight="1" x14ac:dyDescent="0.2">
      <c r="A6" s="27">
        <v>45717</v>
      </c>
      <c r="B6" s="28" t="s">
        <v>50</v>
      </c>
      <c r="C6" s="29">
        <v>1</v>
      </c>
      <c r="D6" s="30">
        <v>13900</v>
      </c>
      <c r="E6" s="31">
        <f t="shared" si="0"/>
        <v>13900</v>
      </c>
      <c r="F6" s="32" t="s">
        <v>70</v>
      </c>
    </row>
    <row r="7" spans="1:6" ht="22" customHeight="1" x14ac:dyDescent="0.2">
      <c r="A7" s="27">
        <v>45717</v>
      </c>
      <c r="B7" s="28" t="s">
        <v>51</v>
      </c>
      <c r="C7" s="29">
        <v>1</v>
      </c>
      <c r="D7" s="30">
        <v>21900</v>
      </c>
      <c r="E7" s="31">
        <f t="shared" si="0"/>
        <v>21900</v>
      </c>
      <c r="F7" s="32" t="s">
        <v>70</v>
      </c>
    </row>
    <row r="8" spans="1:6" ht="22" customHeight="1" x14ac:dyDescent="0.2">
      <c r="A8" s="27">
        <v>45717</v>
      </c>
      <c r="B8" s="28" t="s">
        <v>52</v>
      </c>
      <c r="C8" s="29">
        <v>1</v>
      </c>
      <c r="D8" s="30">
        <v>25900</v>
      </c>
      <c r="E8" s="31">
        <f t="shared" si="0"/>
        <v>25900</v>
      </c>
      <c r="F8" s="32" t="s">
        <v>70</v>
      </c>
    </row>
    <row r="9" spans="1:6" ht="22" customHeight="1" x14ac:dyDescent="0.2">
      <c r="A9" s="27">
        <v>45717</v>
      </c>
      <c r="B9" s="28" t="s">
        <v>53</v>
      </c>
      <c r="C9" s="29">
        <v>1</v>
      </c>
      <c r="D9" s="30">
        <v>29900</v>
      </c>
      <c r="E9" s="31">
        <f t="shared" si="0"/>
        <v>29900</v>
      </c>
      <c r="F9" s="32" t="s">
        <v>70</v>
      </c>
    </row>
    <row r="10" spans="1:6" ht="22" customHeight="1" x14ac:dyDescent="0.2">
      <c r="A10" s="27">
        <v>45717</v>
      </c>
      <c r="B10" s="28" t="s">
        <v>54</v>
      </c>
      <c r="C10" s="29">
        <v>1</v>
      </c>
      <c r="D10" s="30">
        <v>32900</v>
      </c>
      <c r="E10" s="31">
        <f t="shared" si="0"/>
        <v>32900</v>
      </c>
      <c r="F10" s="32" t="s">
        <v>70</v>
      </c>
    </row>
    <row r="11" spans="1:6" ht="22" customHeight="1" x14ac:dyDescent="0.2">
      <c r="A11" s="27">
        <v>45717</v>
      </c>
      <c r="B11" s="28" t="s">
        <v>55</v>
      </c>
      <c r="C11" s="29">
        <v>1</v>
      </c>
      <c r="D11" s="30">
        <v>23900</v>
      </c>
      <c r="E11" s="31">
        <f t="shared" si="0"/>
        <v>23900</v>
      </c>
      <c r="F11" s="32" t="s">
        <v>70</v>
      </c>
    </row>
    <row r="12" spans="1:6" ht="22" customHeight="1" x14ac:dyDescent="0.2">
      <c r="A12" s="27">
        <v>45717</v>
      </c>
      <c r="B12" s="28" t="s">
        <v>56</v>
      </c>
      <c r="C12" s="29">
        <v>1</v>
      </c>
      <c r="D12" s="30">
        <v>11900</v>
      </c>
      <c r="E12" s="31">
        <f t="shared" si="0"/>
        <v>11900</v>
      </c>
      <c r="F12" s="32" t="s">
        <v>70</v>
      </c>
    </row>
    <row r="13" spans="1:6" ht="22" customHeight="1" x14ac:dyDescent="0.2">
      <c r="A13" s="27">
        <v>45717</v>
      </c>
      <c r="B13" s="28" t="s">
        <v>57</v>
      </c>
      <c r="C13" s="29">
        <v>1</v>
      </c>
      <c r="D13" s="30">
        <v>25900</v>
      </c>
      <c r="E13" s="31">
        <f t="shared" si="0"/>
        <v>25900</v>
      </c>
      <c r="F13" s="32" t="s">
        <v>70</v>
      </c>
    </row>
    <row r="14" spans="1:6" ht="22" customHeight="1" x14ac:dyDescent="0.2">
      <c r="A14" s="27">
        <v>45717</v>
      </c>
      <c r="B14" s="28" t="s">
        <v>58</v>
      </c>
      <c r="C14" s="29">
        <v>1</v>
      </c>
      <c r="D14" s="30">
        <v>24900</v>
      </c>
      <c r="E14" s="31">
        <f t="shared" si="0"/>
        <v>24900</v>
      </c>
      <c r="F14" s="32" t="s">
        <v>70</v>
      </c>
    </row>
    <row r="15" spans="1:6" ht="22" customHeight="1" x14ac:dyDescent="0.2">
      <c r="A15" s="27">
        <v>45717</v>
      </c>
      <c r="B15" s="28" t="s">
        <v>59</v>
      </c>
      <c r="C15" s="29">
        <v>1</v>
      </c>
      <c r="D15" s="30">
        <v>26900</v>
      </c>
      <c r="E15" s="31">
        <f t="shared" si="0"/>
        <v>26900</v>
      </c>
      <c r="F15" s="32" t="s">
        <v>70</v>
      </c>
    </row>
    <row r="16" spans="1:6" ht="22" customHeight="1" x14ac:dyDescent="0.2">
      <c r="A16" s="33">
        <v>45721</v>
      </c>
      <c r="B16" s="34" t="s">
        <v>60</v>
      </c>
      <c r="C16" s="35">
        <v>1</v>
      </c>
      <c r="D16" s="36">
        <v>2900</v>
      </c>
      <c r="E16" s="37">
        <f t="shared" si="0"/>
        <v>2900</v>
      </c>
      <c r="F16" s="38" t="s">
        <v>71</v>
      </c>
    </row>
    <row r="17" spans="1:6" ht="22" customHeight="1" x14ac:dyDescent="0.2">
      <c r="A17" s="33">
        <v>45721</v>
      </c>
      <c r="B17" s="34" t="s">
        <v>61</v>
      </c>
      <c r="C17" s="35">
        <v>1</v>
      </c>
      <c r="D17" s="36">
        <v>2900</v>
      </c>
      <c r="E17" s="37">
        <f t="shared" si="0"/>
        <v>2900</v>
      </c>
      <c r="F17" s="38" t="s">
        <v>71</v>
      </c>
    </row>
    <row r="18" spans="1:6" ht="22" customHeight="1" x14ac:dyDescent="0.2">
      <c r="A18" s="33">
        <v>45721</v>
      </c>
      <c r="B18" s="34" t="s">
        <v>62</v>
      </c>
      <c r="C18" s="35">
        <v>1</v>
      </c>
      <c r="D18" s="36">
        <v>2900</v>
      </c>
      <c r="E18" s="37">
        <f t="shared" si="0"/>
        <v>2900</v>
      </c>
      <c r="F18" s="38" t="s">
        <v>71</v>
      </c>
    </row>
    <row r="19" spans="1:6" ht="22" customHeight="1" x14ac:dyDescent="0.2">
      <c r="A19" s="33">
        <v>45721</v>
      </c>
      <c r="B19" s="34" t="s">
        <v>63</v>
      </c>
      <c r="C19" s="35">
        <v>1</v>
      </c>
      <c r="D19" s="36">
        <v>5800</v>
      </c>
      <c r="E19" s="37">
        <f t="shared" si="0"/>
        <v>5800</v>
      </c>
      <c r="F19" s="38" t="s">
        <v>71</v>
      </c>
    </row>
    <row r="20" spans="1:6" ht="22" customHeight="1" x14ac:dyDescent="0.2">
      <c r="A20" s="33">
        <v>45721</v>
      </c>
      <c r="B20" s="34" t="s">
        <v>64</v>
      </c>
      <c r="C20" s="35">
        <v>1</v>
      </c>
      <c r="D20" s="36">
        <v>2900</v>
      </c>
      <c r="E20" s="37">
        <f t="shared" si="0"/>
        <v>2900</v>
      </c>
      <c r="F20" s="38" t="s">
        <v>71</v>
      </c>
    </row>
    <row r="21" spans="1:6" ht="22" customHeight="1" x14ac:dyDescent="0.2">
      <c r="A21" s="33">
        <v>45721</v>
      </c>
      <c r="B21" s="34" t="s">
        <v>65</v>
      </c>
      <c r="C21" s="35">
        <v>1</v>
      </c>
      <c r="D21" s="36">
        <v>2900</v>
      </c>
      <c r="E21" s="37">
        <f t="shared" si="0"/>
        <v>2900</v>
      </c>
      <c r="F21" s="38" t="s">
        <v>71</v>
      </c>
    </row>
    <row r="22" spans="1:6" ht="22" customHeight="1" x14ac:dyDescent="0.2">
      <c r="A22" s="33">
        <v>45721</v>
      </c>
      <c r="B22" s="34" t="s">
        <v>66</v>
      </c>
      <c r="C22" s="35">
        <v>1</v>
      </c>
      <c r="D22" s="36">
        <v>2900</v>
      </c>
      <c r="E22" s="37">
        <f t="shared" si="0"/>
        <v>2900</v>
      </c>
      <c r="F22" s="38" t="s">
        <v>71</v>
      </c>
    </row>
    <row r="23" spans="1:6" ht="22" customHeight="1" x14ac:dyDescent="0.2">
      <c r="A23" s="33">
        <v>45721</v>
      </c>
      <c r="B23" s="34" t="s">
        <v>67</v>
      </c>
      <c r="C23" s="35">
        <v>1</v>
      </c>
      <c r="D23" s="36">
        <v>3900</v>
      </c>
      <c r="E23" s="37">
        <f t="shared" si="0"/>
        <v>3900</v>
      </c>
      <c r="F23" s="38" t="s">
        <v>71</v>
      </c>
    </row>
    <row r="24" spans="1:6" ht="22" customHeight="1" x14ac:dyDescent="0.2">
      <c r="A24" s="39">
        <v>45726</v>
      </c>
      <c r="B24" s="40" t="s">
        <v>68</v>
      </c>
      <c r="C24" s="41">
        <v>1</v>
      </c>
      <c r="D24" s="42">
        <v>22000</v>
      </c>
      <c r="E24" s="43">
        <f t="shared" si="0"/>
        <v>22000</v>
      </c>
      <c r="F24" s="44" t="s">
        <v>72</v>
      </c>
    </row>
    <row r="25" spans="1:6" x14ac:dyDescent="0.2">
      <c r="A25" s="199"/>
      <c r="B25" s="199"/>
      <c r="C25" s="199"/>
      <c r="D25" s="199"/>
      <c r="E25" s="45">
        <f>SUM(E4:E15)</f>
        <v>253800</v>
      </c>
    </row>
    <row r="26" spans="1:6" x14ac:dyDescent="0.2">
      <c r="A26" s="183"/>
      <c r="B26" s="183"/>
      <c r="C26" s="183"/>
      <c r="D26" s="183"/>
      <c r="E26" s="45">
        <f>SUM(E16:E23)</f>
        <v>27100</v>
      </c>
    </row>
    <row r="27" spans="1:6" x14ac:dyDescent="0.2">
      <c r="A27" s="183"/>
      <c r="B27" s="183"/>
      <c r="C27" s="183"/>
      <c r="D27" s="183"/>
      <c r="E27" s="46">
        <f>SUM(E24:E24)</f>
        <v>22000</v>
      </c>
    </row>
    <row r="29" spans="1:6" x14ac:dyDescent="0.2">
      <c r="A29" s="197" t="s">
        <v>15</v>
      </c>
      <c r="B29" s="197"/>
      <c r="C29" s="197"/>
      <c r="D29" s="197"/>
      <c r="E29" s="2">
        <f>SUM(E4:E24)</f>
        <v>302900</v>
      </c>
    </row>
    <row r="30" spans="1:6" x14ac:dyDescent="0.2">
      <c r="A30" s="198" t="s">
        <v>16</v>
      </c>
      <c r="B30" s="198"/>
      <c r="C30" s="198"/>
      <c r="D30" s="198"/>
      <c r="E30" s="3">
        <f>SUM(C4:C24)</f>
        <v>21</v>
      </c>
    </row>
    <row r="31" spans="1:6" x14ac:dyDescent="0.2">
      <c r="A31" s="198" t="s">
        <v>73</v>
      </c>
      <c r="B31" s="198"/>
      <c r="C31" s="198"/>
      <c r="D31" s="198"/>
      <c r="E31" s="3">
        <v>3</v>
      </c>
    </row>
  </sheetData>
  <autoFilter ref="A3:F24" xr:uid="{9EA40B00-D8F0-5344-A358-9706A1869FEC}"/>
  <mergeCells count="8">
    <mergeCell ref="A29:D29"/>
    <mergeCell ref="A30:D30"/>
    <mergeCell ref="A31:D31"/>
    <mergeCell ref="A1:F1"/>
    <mergeCell ref="A2:F2"/>
    <mergeCell ref="A25:D25"/>
    <mergeCell ref="A26:D26"/>
    <mergeCell ref="A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A532-D9B2-3444-95A0-6EDA262E187D}">
  <dimension ref="A1:I26"/>
  <sheetViews>
    <sheetView tabSelected="1" zoomScale="150" zoomScaleNormal="150" workbookViewId="0">
      <pane ySplit="3" topLeftCell="A4" activePane="bottomLeft" state="frozen"/>
      <selection pane="bottomLeft" activeCell="B4" sqref="B4"/>
    </sheetView>
  </sheetViews>
  <sheetFormatPr baseColWidth="10" defaultRowHeight="16" x14ac:dyDescent="0.2"/>
  <cols>
    <col min="3" max="3" width="30" bestFit="1" customWidth="1"/>
    <col min="4" max="4" width="10.6640625" bestFit="1" customWidth="1"/>
    <col min="5" max="5" width="22.33203125" customWidth="1"/>
    <col min="6" max="6" width="12.33203125" bestFit="1" customWidth="1"/>
    <col min="7" max="7" width="11.1640625" bestFit="1" customWidth="1"/>
    <col min="8" max="8" width="13.83203125" bestFit="1" customWidth="1"/>
  </cols>
  <sheetData>
    <row r="1" spans="1:9" ht="36" customHeight="1" x14ac:dyDescent="0.25">
      <c r="A1" s="193" t="s">
        <v>17</v>
      </c>
      <c r="B1" s="193"/>
      <c r="C1" s="193"/>
      <c r="D1" s="193"/>
      <c r="E1" s="193"/>
      <c r="F1" s="193"/>
      <c r="G1" s="193"/>
      <c r="H1" s="193"/>
      <c r="I1" s="193"/>
    </row>
    <row r="2" spans="1:9" ht="22" customHeight="1" x14ac:dyDescent="0.2">
      <c r="A2" s="200" t="s">
        <v>46</v>
      </c>
      <c r="B2" s="200"/>
      <c r="C2" s="200"/>
      <c r="D2" s="200"/>
      <c r="E2" s="200"/>
      <c r="F2" s="200"/>
      <c r="G2" s="200"/>
      <c r="H2" s="200"/>
      <c r="I2" s="200"/>
    </row>
    <row r="3" spans="1:9" ht="28" customHeight="1" x14ac:dyDescent="0.2">
      <c r="A3" s="20" t="s">
        <v>47</v>
      </c>
      <c r="B3" s="4" t="s">
        <v>9</v>
      </c>
      <c r="C3" s="4" t="s">
        <v>1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14</v>
      </c>
    </row>
    <row r="4" spans="1:9" ht="24" customHeight="1" x14ac:dyDescent="0.3">
      <c r="A4" s="127" t="b">
        <v>0</v>
      </c>
      <c r="B4" s="48"/>
      <c r="C4" s="49" t="s">
        <v>48</v>
      </c>
      <c r="D4" s="48">
        <v>1</v>
      </c>
      <c r="E4" s="50">
        <f>IF(C4="","",IFERROR(_xlfn.XLOOKUP(C4,Precios!$A$4:$A$24,Precios!$D$4:$D$24,"⚠ Sin precio"),0))</f>
        <v>17000</v>
      </c>
      <c r="F4" s="51">
        <f t="shared" ref="F4:F24" si="0">IF(A4=TRUE,D4*E4,0)</f>
        <v>0</v>
      </c>
      <c r="G4" s="52">
        <f>IF(C4="","",IF(A4=TRUE,D4*IFERROR(_xlfn.XLOOKUP(C4,Precios!$A$4:$A$24,Precios!$B$4:$B$24,0),0),0))</f>
        <v>0</v>
      </c>
      <c r="H4" s="51" t="str">
        <f t="shared" ref="H4:H24" si="1">IF(A4=TRUE,F4-G4,"")</f>
        <v/>
      </c>
      <c r="I4" s="53"/>
    </row>
    <row r="5" spans="1:9" ht="24" customHeight="1" x14ac:dyDescent="0.3">
      <c r="A5" s="54" t="b">
        <v>0</v>
      </c>
      <c r="B5" s="55"/>
      <c r="C5" s="56" t="s">
        <v>49</v>
      </c>
      <c r="D5" s="55">
        <v>1</v>
      </c>
      <c r="E5" s="57">
        <f>IF(C5="","",IFERROR(_xlfn.XLOOKUP(C5,Precios!$A$4:$A$24,Precios!$D$4:$D$24,"⚠ Sin precio"),0))</f>
        <v>9750</v>
      </c>
      <c r="F5" s="58">
        <f t="shared" si="0"/>
        <v>0</v>
      </c>
      <c r="G5" s="59">
        <f>IF(C5="","",IF(A5=TRUE,D5*IFERROR(_xlfn.XLOOKUP(C5,Precios!$A$4:$A$24,Precios!$B$4:$B$24,0),0),0))</f>
        <v>0</v>
      </c>
      <c r="H5" s="58" t="str">
        <f t="shared" si="1"/>
        <v/>
      </c>
      <c r="I5" s="60"/>
    </row>
    <row r="6" spans="1:9" ht="24" customHeight="1" x14ac:dyDescent="0.3">
      <c r="A6" s="47" t="b">
        <v>0</v>
      </c>
      <c r="B6" s="48"/>
      <c r="C6" s="49" t="s">
        <v>50</v>
      </c>
      <c r="D6" s="48">
        <v>1</v>
      </c>
      <c r="E6" s="125" t="str">
        <f>IF(C6="","",IFERROR(_xlfn.XLOOKUP(C6,Precios!$A$4:$A$24,Precios!$D$4:$D$24,"⚠ Sin precio"),0))</f>
        <v>⚠ Completar costo y margen</v>
      </c>
      <c r="F6" s="51">
        <f t="shared" si="0"/>
        <v>0</v>
      </c>
      <c r="G6" s="52">
        <f>IF(C6="","",IF(A6=TRUE,D6*IFERROR(_xlfn.XLOOKUP(C6,Precios!$A$4:$A$24,Precios!$B$4:$B$24,0),0),0))</f>
        <v>0</v>
      </c>
      <c r="H6" s="51" t="str">
        <f t="shared" si="1"/>
        <v/>
      </c>
      <c r="I6" s="53"/>
    </row>
    <row r="7" spans="1:9" ht="24" customHeight="1" x14ac:dyDescent="0.3">
      <c r="A7" s="54" t="b">
        <v>0</v>
      </c>
      <c r="B7" s="55"/>
      <c r="C7" s="56" t="s">
        <v>51</v>
      </c>
      <c r="D7" s="55">
        <v>1</v>
      </c>
      <c r="E7" s="126" t="str">
        <f>IF(C7="","",IFERROR(_xlfn.XLOOKUP(C7,Precios!$A$4:$A$24,Precios!$D$4:$D$24,"⚠ Sin precio"),0))</f>
        <v>⚠ Completar costo y margen</v>
      </c>
      <c r="F7" s="58">
        <f t="shared" si="0"/>
        <v>0</v>
      </c>
      <c r="G7" s="59">
        <f>IF(C7="","",IF(A7=TRUE,D7*IFERROR(_xlfn.XLOOKUP(C7,Precios!$A$4:$A$24,Precios!$B$4:$B$24,0),0),0))</f>
        <v>0</v>
      </c>
      <c r="H7" s="58" t="str">
        <f t="shared" si="1"/>
        <v/>
      </c>
      <c r="I7" s="60"/>
    </row>
    <row r="8" spans="1:9" ht="24" customHeight="1" x14ac:dyDescent="0.3">
      <c r="A8" s="47" t="b">
        <v>0</v>
      </c>
      <c r="B8" s="48"/>
      <c r="C8" s="49" t="s">
        <v>52</v>
      </c>
      <c r="D8" s="48">
        <v>1</v>
      </c>
      <c r="E8" s="125" t="str">
        <f>IF(C8="","",IFERROR(_xlfn.XLOOKUP(C8,Precios!$A$4:$A$24,Precios!$D$4:$D$24,"⚠ Sin precio"),0))</f>
        <v>⚠ Completar costo y margen</v>
      </c>
      <c r="F8" s="51">
        <f t="shared" si="0"/>
        <v>0</v>
      </c>
      <c r="G8" s="52">
        <f>IF(C8="","",IF(A8=TRUE,D8*IFERROR(_xlfn.XLOOKUP(C8,Precios!$A$4:$A$24,Precios!$B$4:$B$24,0),0),0))</f>
        <v>0</v>
      </c>
      <c r="H8" s="51" t="str">
        <f t="shared" si="1"/>
        <v/>
      </c>
      <c r="I8" s="53"/>
    </row>
    <row r="9" spans="1:9" ht="24" customHeight="1" x14ac:dyDescent="0.3">
      <c r="A9" s="54" t="b">
        <v>0</v>
      </c>
      <c r="B9" s="55"/>
      <c r="C9" s="56" t="s">
        <v>53</v>
      </c>
      <c r="D9" s="55">
        <v>1</v>
      </c>
      <c r="E9" s="126" t="str">
        <f>IF(C9="","",IFERROR(_xlfn.XLOOKUP(C9,Precios!$A$4:$A$24,Precios!$D$4:$D$24,"⚠ Sin precio"),0))</f>
        <v>⚠ Completar costo y margen</v>
      </c>
      <c r="F9" s="58">
        <f t="shared" si="0"/>
        <v>0</v>
      </c>
      <c r="G9" s="59">
        <f>IF(C9="","",IF(A9=TRUE,D9*IFERROR(_xlfn.XLOOKUP(C9,Precios!$A$4:$A$24,Precios!$B$4:$B$24,0),0),0))</f>
        <v>0</v>
      </c>
      <c r="H9" s="58" t="str">
        <f t="shared" si="1"/>
        <v/>
      </c>
      <c r="I9" s="60"/>
    </row>
    <row r="10" spans="1:9" ht="24" customHeight="1" x14ac:dyDescent="0.3">
      <c r="A10" s="47" t="b">
        <v>0</v>
      </c>
      <c r="B10" s="48"/>
      <c r="C10" s="49" t="s">
        <v>54</v>
      </c>
      <c r="D10" s="48">
        <v>1</v>
      </c>
      <c r="E10" s="125" t="str">
        <f>IF(C10="","",IFERROR(_xlfn.XLOOKUP(C10,Precios!$A$4:$A$24,Precios!$D$4:$D$24,"⚠ Sin precio"),0))</f>
        <v>⚠ Completar costo y margen</v>
      </c>
      <c r="F10" s="51">
        <f t="shared" si="0"/>
        <v>0</v>
      </c>
      <c r="G10" s="52">
        <f>IF(C10="","",IF(A10=TRUE,D10*IFERROR(_xlfn.XLOOKUP(C10,Precios!$A$4:$A$24,Precios!$B$4:$B$24,0),0),0))</f>
        <v>0</v>
      </c>
      <c r="H10" s="51" t="str">
        <f t="shared" si="1"/>
        <v/>
      </c>
      <c r="I10" s="53"/>
    </row>
    <row r="11" spans="1:9" ht="24" customHeight="1" x14ac:dyDescent="0.3">
      <c r="A11" s="54" t="b">
        <v>0</v>
      </c>
      <c r="B11" s="55"/>
      <c r="C11" s="56" t="s">
        <v>55</v>
      </c>
      <c r="D11" s="55">
        <v>1</v>
      </c>
      <c r="E11" s="126" t="str">
        <f>IF(C11="","",IFERROR(_xlfn.XLOOKUP(C11,Precios!$A$4:$A$24,Precios!$D$4:$D$24,"⚠ Sin precio"),0))</f>
        <v>⚠ Completar costo y margen</v>
      </c>
      <c r="F11" s="58">
        <f t="shared" si="0"/>
        <v>0</v>
      </c>
      <c r="G11" s="59">
        <f>IF(C11="","",IF(A11=TRUE,D11*IFERROR(_xlfn.XLOOKUP(C11,Precios!$A$4:$A$24,Precios!$B$4:$B$24,0),0),0))</f>
        <v>0</v>
      </c>
      <c r="H11" s="58" t="str">
        <f t="shared" si="1"/>
        <v/>
      </c>
      <c r="I11" s="60"/>
    </row>
    <row r="12" spans="1:9" ht="24" customHeight="1" x14ac:dyDescent="0.3">
      <c r="A12" s="47" t="b">
        <v>0</v>
      </c>
      <c r="B12" s="48"/>
      <c r="C12" s="49" t="s">
        <v>56</v>
      </c>
      <c r="D12" s="48">
        <v>1</v>
      </c>
      <c r="E12" s="125" t="str">
        <f>IF(C12="","",IFERROR(_xlfn.XLOOKUP(C12,Precios!$A$4:$A$24,Precios!$D$4:$D$24,"⚠ Sin precio"),0))</f>
        <v>⚠ Completar costo y margen</v>
      </c>
      <c r="F12" s="51">
        <f t="shared" si="0"/>
        <v>0</v>
      </c>
      <c r="G12" s="52">
        <f>IF(C12="","",IF(A12=TRUE,D12*IFERROR(_xlfn.XLOOKUP(C12,Precios!$A$4:$A$24,Precios!$B$4:$B$24,0),0),0))</f>
        <v>0</v>
      </c>
      <c r="H12" s="51" t="str">
        <f t="shared" si="1"/>
        <v/>
      </c>
      <c r="I12" s="53"/>
    </row>
    <row r="13" spans="1:9" ht="24" customHeight="1" x14ac:dyDescent="0.3">
      <c r="A13" s="54" t="b">
        <v>0</v>
      </c>
      <c r="B13" s="55"/>
      <c r="C13" s="56" t="s">
        <v>57</v>
      </c>
      <c r="D13" s="55">
        <v>1</v>
      </c>
      <c r="E13" s="126" t="str">
        <f>IF(C13="","",IFERROR(_xlfn.XLOOKUP(C13,Precios!$A$4:$A$24,Precios!$D$4:$D$24,"⚠ Sin precio"),0))</f>
        <v>⚠ Completar costo y margen</v>
      </c>
      <c r="F13" s="58">
        <f t="shared" si="0"/>
        <v>0</v>
      </c>
      <c r="G13" s="59">
        <f>IF(C13="","",IF(A13=TRUE,D13*IFERROR(_xlfn.XLOOKUP(C13,Precios!$A$4:$A$24,Precios!$B$4:$B$24,0),0),0))</f>
        <v>0</v>
      </c>
      <c r="H13" s="58" t="str">
        <f t="shared" si="1"/>
        <v/>
      </c>
      <c r="I13" s="60"/>
    </row>
    <row r="14" spans="1:9" ht="24" customHeight="1" x14ac:dyDescent="0.3">
      <c r="A14" s="47" t="b">
        <v>0</v>
      </c>
      <c r="B14" s="48"/>
      <c r="C14" s="49" t="s">
        <v>58</v>
      </c>
      <c r="D14" s="48">
        <v>1</v>
      </c>
      <c r="E14" s="125" t="str">
        <f>IF(C14="","",IFERROR(_xlfn.XLOOKUP(C14,Precios!$A$4:$A$24,Precios!$D$4:$D$24,"⚠ Sin precio"),0))</f>
        <v>⚠ Completar costo y margen</v>
      </c>
      <c r="F14" s="51">
        <f t="shared" si="0"/>
        <v>0</v>
      </c>
      <c r="G14" s="52">
        <f>IF(C14="","",IF(A14=TRUE,D14*IFERROR(_xlfn.XLOOKUP(C14,Precios!$A$4:$A$24,Precios!$B$4:$B$24,0),0),0))</f>
        <v>0</v>
      </c>
      <c r="H14" s="51" t="str">
        <f t="shared" si="1"/>
        <v/>
      </c>
      <c r="I14" s="53"/>
    </row>
    <row r="15" spans="1:9" ht="24" customHeight="1" x14ac:dyDescent="0.3">
      <c r="A15" s="54" t="b">
        <v>0</v>
      </c>
      <c r="B15" s="55"/>
      <c r="C15" s="56" t="s">
        <v>59</v>
      </c>
      <c r="D15" s="55">
        <v>1</v>
      </c>
      <c r="E15" s="126" t="str">
        <f>IF(C15="","",IFERROR(_xlfn.XLOOKUP(C15,Precios!$A$4:$A$24,Precios!$D$4:$D$24,"⚠ Sin precio"),0))</f>
        <v>⚠ Completar costo y margen</v>
      </c>
      <c r="F15" s="58">
        <f t="shared" si="0"/>
        <v>0</v>
      </c>
      <c r="G15" s="59">
        <f>IF(C15="","",IF(A15=TRUE,D15*IFERROR(_xlfn.XLOOKUP(C15,Precios!$A$4:$A$24,Precios!$B$4:$B$24,0),0),0))</f>
        <v>0</v>
      </c>
      <c r="H15" s="58" t="str">
        <f t="shared" si="1"/>
        <v/>
      </c>
      <c r="I15" s="60"/>
    </row>
    <row r="16" spans="1:9" ht="24" customHeight="1" x14ac:dyDescent="0.3">
      <c r="A16" s="47" t="b">
        <v>0</v>
      </c>
      <c r="B16" s="48"/>
      <c r="C16" s="49" t="s">
        <v>60</v>
      </c>
      <c r="D16" s="48">
        <v>1</v>
      </c>
      <c r="E16" s="125" t="str">
        <f>IF(C16="","",IFERROR(_xlfn.XLOOKUP(C16,Precios!$A$4:$A$24,Precios!$D$4:$D$24,"⚠ Sin precio"),0))</f>
        <v>⚠ Completar costo y margen</v>
      </c>
      <c r="F16" s="51">
        <f t="shared" si="0"/>
        <v>0</v>
      </c>
      <c r="G16" s="52">
        <f>IF(C16="","",IF(A16=TRUE,D16*IFERROR(_xlfn.XLOOKUP(C16,Precios!$A$4:$A$24,Precios!$B$4:$B$24,0),0),0))</f>
        <v>0</v>
      </c>
      <c r="H16" s="51" t="str">
        <f t="shared" si="1"/>
        <v/>
      </c>
      <c r="I16" s="53"/>
    </row>
    <row r="17" spans="1:9" ht="24" customHeight="1" x14ac:dyDescent="0.3">
      <c r="A17" s="54" t="b">
        <v>0</v>
      </c>
      <c r="B17" s="55"/>
      <c r="C17" s="56" t="s">
        <v>61</v>
      </c>
      <c r="D17" s="55">
        <v>1</v>
      </c>
      <c r="E17" s="126" t="str">
        <f>IF(C17="","",IFERROR(_xlfn.XLOOKUP(C17,Precios!$A$4:$A$24,Precios!$D$4:$D$24,"⚠ Sin precio"),0))</f>
        <v>⚠ Completar costo y margen</v>
      </c>
      <c r="F17" s="58">
        <f t="shared" si="0"/>
        <v>0</v>
      </c>
      <c r="G17" s="59">
        <f>IF(C17="","",IF(A17=TRUE,D17*IFERROR(_xlfn.XLOOKUP(C17,Precios!$A$4:$A$24,Precios!$B$4:$B$24,0),0),0))</f>
        <v>0</v>
      </c>
      <c r="H17" s="58" t="str">
        <f t="shared" si="1"/>
        <v/>
      </c>
      <c r="I17" s="60"/>
    </row>
    <row r="18" spans="1:9" ht="24" customHeight="1" x14ac:dyDescent="0.3">
      <c r="A18" s="47" t="b">
        <v>0</v>
      </c>
      <c r="B18" s="48"/>
      <c r="C18" s="49" t="s">
        <v>62</v>
      </c>
      <c r="D18" s="48">
        <v>1</v>
      </c>
      <c r="E18" s="125" t="str">
        <f>IF(C18="","",IFERROR(_xlfn.XLOOKUP(C18,Precios!$A$4:$A$24,Precios!$D$4:$D$24,"⚠ Sin precio"),0))</f>
        <v>⚠ Completar costo y margen</v>
      </c>
      <c r="F18" s="51">
        <f t="shared" si="0"/>
        <v>0</v>
      </c>
      <c r="G18" s="52">
        <f>IF(C18="","",IF(A18=TRUE,D18*IFERROR(_xlfn.XLOOKUP(C18,Precios!$A$4:$A$24,Precios!$B$4:$B$24,0),0),0))</f>
        <v>0</v>
      </c>
      <c r="H18" s="51" t="str">
        <f t="shared" si="1"/>
        <v/>
      </c>
      <c r="I18" s="53"/>
    </row>
    <row r="19" spans="1:9" ht="24" customHeight="1" x14ac:dyDescent="0.3">
      <c r="A19" s="54" t="b">
        <v>0</v>
      </c>
      <c r="B19" s="55"/>
      <c r="C19" s="56" t="s">
        <v>63</v>
      </c>
      <c r="D19" s="55">
        <v>1</v>
      </c>
      <c r="E19" s="126" t="str">
        <f>IF(C19="","",IFERROR(_xlfn.XLOOKUP(C19,Precios!$A$4:$A$24,Precios!$D$4:$D$24,"⚠ Sin precio"),0))</f>
        <v>⚠ Completar costo y margen</v>
      </c>
      <c r="F19" s="58">
        <f t="shared" si="0"/>
        <v>0</v>
      </c>
      <c r="G19" s="59">
        <f>IF(C19="","",IF(A19=TRUE,D19*IFERROR(_xlfn.XLOOKUP(C19,Precios!$A$4:$A$24,Precios!$B$4:$B$24,0),0),0))</f>
        <v>0</v>
      </c>
      <c r="H19" s="58" t="str">
        <f t="shared" si="1"/>
        <v/>
      </c>
      <c r="I19" s="60"/>
    </row>
    <row r="20" spans="1:9" ht="24" customHeight="1" x14ac:dyDescent="0.3">
      <c r="A20" s="47" t="b">
        <v>0</v>
      </c>
      <c r="B20" s="48"/>
      <c r="C20" s="49" t="s">
        <v>64</v>
      </c>
      <c r="D20" s="48">
        <v>1</v>
      </c>
      <c r="E20" s="125" t="str">
        <f>IF(C20="","",IFERROR(_xlfn.XLOOKUP(C20,Precios!$A$4:$A$24,Precios!$D$4:$D$24,"⚠ Sin precio"),0))</f>
        <v>⚠ Completar costo y margen</v>
      </c>
      <c r="F20" s="51">
        <f t="shared" si="0"/>
        <v>0</v>
      </c>
      <c r="G20" s="52">
        <f>IF(C20="","",IF(A20=TRUE,D20*IFERROR(_xlfn.XLOOKUP(C20,Precios!$A$4:$A$24,Precios!$B$4:$B$24,0),0),0))</f>
        <v>0</v>
      </c>
      <c r="H20" s="51" t="str">
        <f t="shared" si="1"/>
        <v/>
      </c>
      <c r="I20" s="53"/>
    </row>
    <row r="21" spans="1:9" ht="24" customHeight="1" x14ac:dyDescent="0.3">
      <c r="A21" s="54" t="b">
        <v>0</v>
      </c>
      <c r="B21" s="55"/>
      <c r="C21" s="56" t="s">
        <v>65</v>
      </c>
      <c r="D21" s="55">
        <v>1</v>
      </c>
      <c r="E21" s="126" t="str">
        <f>IF(C21="","",IFERROR(_xlfn.XLOOKUP(C21,Precios!$A$4:$A$24,Precios!$D$4:$D$24,"⚠ Sin precio"),0))</f>
        <v>⚠ Completar costo y margen</v>
      </c>
      <c r="F21" s="58">
        <f t="shared" si="0"/>
        <v>0</v>
      </c>
      <c r="G21" s="59">
        <f>IF(C21="","",IF(A21=TRUE,D21*IFERROR(_xlfn.XLOOKUP(C21,Precios!$A$4:$A$24,Precios!$B$4:$B$24,0),0),0))</f>
        <v>0</v>
      </c>
      <c r="H21" s="58" t="str">
        <f t="shared" si="1"/>
        <v/>
      </c>
      <c r="I21" s="60"/>
    </row>
    <row r="22" spans="1:9" ht="24" customHeight="1" x14ac:dyDescent="0.3">
      <c r="A22" s="47" t="b">
        <v>0</v>
      </c>
      <c r="B22" s="48"/>
      <c r="C22" s="49" t="s">
        <v>66</v>
      </c>
      <c r="D22" s="48">
        <v>1</v>
      </c>
      <c r="E22" s="125" t="str">
        <f>IF(C22="","",IFERROR(_xlfn.XLOOKUP(C22,Precios!$A$4:$A$24,Precios!$D$4:$D$24,"⚠ Sin precio"),0))</f>
        <v>⚠ Completar costo y margen</v>
      </c>
      <c r="F22" s="51">
        <f t="shared" si="0"/>
        <v>0</v>
      </c>
      <c r="G22" s="52">
        <f>IF(C22="","",IF(A22=TRUE,D22*IFERROR(_xlfn.XLOOKUP(C22,Precios!$A$4:$A$24,Precios!$B$4:$B$24,0),0),0))</f>
        <v>0</v>
      </c>
      <c r="H22" s="51" t="str">
        <f t="shared" si="1"/>
        <v/>
      </c>
      <c r="I22" s="53"/>
    </row>
    <row r="23" spans="1:9" ht="24" customHeight="1" x14ac:dyDescent="0.3">
      <c r="A23" s="54" t="b">
        <v>0</v>
      </c>
      <c r="B23" s="55"/>
      <c r="C23" s="56" t="s">
        <v>67</v>
      </c>
      <c r="D23" s="55">
        <v>1</v>
      </c>
      <c r="E23" s="126" t="str">
        <f>IF(C23="","",IFERROR(_xlfn.XLOOKUP(C23,Precios!$A$4:$A$24,Precios!$D$4:$D$24,"⚠ Sin precio"),0))</f>
        <v>⚠ Completar costo y margen</v>
      </c>
      <c r="F23" s="58">
        <f t="shared" si="0"/>
        <v>0</v>
      </c>
      <c r="G23" s="59">
        <f>IF(C23="","",IF(A23=TRUE,D23*IFERROR(_xlfn.XLOOKUP(C23,Precios!$A$4:$A$24,Precios!$B$4:$B$24,0),0),0))</f>
        <v>0</v>
      </c>
      <c r="H23" s="58" t="str">
        <f t="shared" si="1"/>
        <v/>
      </c>
      <c r="I23" s="60"/>
    </row>
    <row r="24" spans="1:9" ht="24" customHeight="1" x14ac:dyDescent="0.3">
      <c r="A24" s="47" t="b">
        <v>0</v>
      </c>
      <c r="B24" s="48"/>
      <c r="C24" s="49" t="s">
        <v>68</v>
      </c>
      <c r="D24" s="48">
        <v>1</v>
      </c>
      <c r="E24" s="125" t="str">
        <f>IF(C24="","",IFERROR(_xlfn.XLOOKUP(C24,Precios!$A$4:$A$24,Precios!$D$4:$D$24,"⚠ Sin precio"),0))</f>
        <v>⚠ Completar costo y margen</v>
      </c>
      <c r="F24" s="51">
        <f t="shared" si="0"/>
        <v>0</v>
      </c>
      <c r="G24" s="52">
        <f>IF(C24="","",IF(A24=TRUE,D24*IFERROR(_xlfn.XLOOKUP(C24,Precios!$A$4:$A$24,Precios!$B$4:$B$24,0),0),0))</f>
        <v>0</v>
      </c>
      <c r="H24" s="51" t="str">
        <f t="shared" si="1"/>
        <v/>
      </c>
      <c r="I24" s="53"/>
    </row>
    <row r="26" spans="1:9" x14ac:dyDescent="0.2">
      <c r="A26" s="201" t="s">
        <v>23</v>
      </c>
      <c r="B26" s="201"/>
      <c r="C26" s="201"/>
      <c r="D26" s="201"/>
      <c r="E26" s="201"/>
      <c r="F26" s="5">
        <f>SUM(F4:F24)</f>
        <v>0</v>
      </c>
      <c r="G26" s="5">
        <f>SUM(G4:G24)</f>
        <v>0</v>
      </c>
      <c r="H26" s="5">
        <f>SUM(H4:H24)</f>
        <v>0</v>
      </c>
    </row>
  </sheetData>
  <autoFilter ref="A3:I24" xr:uid="{48AFA532-D9B2-3444-95A0-6EDA262E187D}"/>
  <mergeCells count="3">
    <mergeCell ref="A1:I1"/>
    <mergeCell ref="A2:I2"/>
    <mergeCell ref="A26:E26"/>
  </mergeCells>
  <conditionalFormatting sqref="A4:I24">
    <cfRule type="expression" dxfId="4" priority="1">
      <formula>$A4=TRUE</formula>
    </cfRule>
  </conditionalFormatting>
  <dataValidations count="2">
    <dataValidation type="list" allowBlank="1" showInputMessage="1" showErrorMessage="1" sqref="C4:C24" xr:uid="{3C550A0E-D41A-2F4C-A136-1335086AF7EF}">
      <formula1>"Precios!$A$4:$A$24"</formula1>
    </dataValidation>
    <dataValidation type="list" allowBlank="1" showInputMessage="1" showErrorMessage="1" sqref="A4:A24" xr:uid="{266434D1-F092-3F41-B8A0-23986B2304AD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B60A7-8041-D149-AA2E-3CF5D5DA71A4}">
  <dimension ref="A1:L34"/>
  <sheetViews>
    <sheetView zoomScale="120" zoomScaleNormal="120" workbookViewId="0">
      <pane ySplit="2" topLeftCell="A3" activePane="bottomLeft" state="frozen"/>
      <selection pane="bottomLeft" activeCell="N12" sqref="N12"/>
    </sheetView>
  </sheetViews>
  <sheetFormatPr baseColWidth="10" defaultRowHeight="16" x14ac:dyDescent="0.2"/>
  <cols>
    <col min="1" max="1" width="29.33203125" bestFit="1" customWidth="1"/>
    <col min="2" max="2" width="15.1640625" customWidth="1"/>
    <col min="4" max="4" width="25.6640625" customWidth="1"/>
    <col min="7" max="7" width="17.5" customWidth="1"/>
    <col min="8" max="8" width="14.83203125" customWidth="1"/>
    <col min="10" max="10" width="19" customWidth="1"/>
  </cols>
  <sheetData>
    <row r="1" spans="1:12" ht="40" customHeight="1" x14ac:dyDescent="0.3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</row>
    <row r="2" spans="1:12" ht="22" customHeight="1" x14ac:dyDescent="0.2">
      <c r="A2" s="200" t="s">
        <v>25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</row>
    <row r="3" spans="1:12" ht="26" customHeight="1" x14ac:dyDescent="0.2">
      <c r="A3" s="203" t="s">
        <v>26</v>
      </c>
      <c r="B3" s="203"/>
      <c r="D3" s="204" t="s">
        <v>27</v>
      </c>
      <c r="E3" s="204"/>
    </row>
    <row r="4" spans="1:12" ht="26" customHeight="1" x14ac:dyDescent="0.2">
      <c r="A4" s="6" t="s">
        <v>28</v>
      </c>
      <c r="B4" s="7">
        <f>Gastos!E29</f>
        <v>302900</v>
      </c>
      <c r="D4" s="12" t="s">
        <v>33</v>
      </c>
      <c r="E4" s="13">
        <f>COUNTIF(Ventas!A4:A24,TRUE)</f>
        <v>0</v>
      </c>
    </row>
    <row r="5" spans="1:12" ht="26" customHeight="1" x14ac:dyDescent="0.2">
      <c r="A5" s="6" t="s">
        <v>29</v>
      </c>
      <c r="B5" s="7">
        <f>Ventas!F26</f>
        <v>0</v>
      </c>
      <c r="D5" s="12" t="s">
        <v>34</v>
      </c>
      <c r="E5" s="14">
        <f>IFERROR(B5/D4,0)</f>
        <v>0</v>
      </c>
    </row>
    <row r="6" spans="1:12" ht="26" customHeight="1" x14ac:dyDescent="0.2">
      <c r="A6" s="8" t="s">
        <v>30</v>
      </c>
      <c r="B6" s="9">
        <f>B5-B4</f>
        <v>-302900</v>
      </c>
      <c r="D6" s="15" t="s">
        <v>35</v>
      </c>
      <c r="E6" s="16">
        <f>IFERROR((B8/B5)*100,0)</f>
        <v>0</v>
      </c>
    </row>
    <row r="7" spans="1:12" ht="26" customHeight="1" x14ac:dyDescent="0.2">
      <c r="A7" s="10" t="s">
        <v>31</v>
      </c>
      <c r="B7" s="11">
        <f>Ventas!G26</f>
        <v>0</v>
      </c>
      <c r="D7" s="12" t="s">
        <v>36</v>
      </c>
      <c r="E7" s="14">
        <f>IFERROR(B8/D4,0)</f>
        <v>0</v>
      </c>
    </row>
    <row r="8" spans="1:12" ht="26" customHeight="1" x14ac:dyDescent="0.2">
      <c r="A8" s="8" t="s">
        <v>32</v>
      </c>
      <c r="B8" s="9">
        <f>B5-B7</f>
        <v>0</v>
      </c>
      <c r="D8" s="15" t="s">
        <v>37</v>
      </c>
      <c r="E8" s="16">
        <f>IFERROR(B8/B4*100,0)</f>
        <v>0</v>
      </c>
    </row>
    <row r="9" spans="1:12" ht="26" customHeight="1" x14ac:dyDescent="0.2">
      <c r="A9" s="206" t="s">
        <v>39</v>
      </c>
      <c r="B9" s="206"/>
      <c r="C9" s="206"/>
      <c r="D9" s="206"/>
      <c r="E9" s="206"/>
      <c r="G9" s="205" t="s">
        <v>38</v>
      </c>
      <c r="H9" s="205"/>
      <c r="I9" s="205"/>
      <c r="J9" s="205"/>
      <c r="K9" s="205"/>
      <c r="L9" s="205"/>
    </row>
    <row r="10" spans="1:12" ht="24" customHeight="1" x14ac:dyDescent="0.2">
      <c r="A10" s="17" t="s">
        <v>1</v>
      </c>
      <c r="B10" s="17" t="s">
        <v>40</v>
      </c>
      <c r="C10" s="17" t="s">
        <v>41</v>
      </c>
      <c r="D10" s="17" t="s">
        <v>74</v>
      </c>
      <c r="E10" s="17" t="s">
        <v>42</v>
      </c>
      <c r="G10" s="18" t="s">
        <v>1</v>
      </c>
      <c r="H10" s="18" t="s">
        <v>75</v>
      </c>
      <c r="I10" s="18" t="s">
        <v>43</v>
      </c>
      <c r="J10" s="18" t="s">
        <v>76</v>
      </c>
      <c r="K10" s="18" t="s">
        <v>44</v>
      </c>
      <c r="L10" s="18" t="s">
        <v>77</v>
      </c>
    </row>
    <row r="11" spans="1:12" ht="22" customHeight="1" x14ac:dyDescent="0.2">
      <c r="A11" s="61" t="s">
        <v>48</v>
      </c>
      <c r="B11" s="62">
        <f>IFERROR(SUMIF(Gastos!$B$4:$B$24,"QAED AL FURSAN EDP 90ML HOMBRE",Gastos!$C$4:$C$24),0)</f>
        <v>1</v>
      </c>
      <c r="C11" s="62">
        <f>IFERROR(SUMIFS(Ventas!$D$4:$D$24,Ventas!$C$4:$C$24,"QAED AL FURSAN EDP 90ML HOMBRE",Ventas!$A$4:$A$24,TRUE),0)</f>
        <v>0</v>
      </c>
      <c r="D11" s="63">
        <f t="shared" ref="D11:D31" si="0">B11-C11</f>
        <v>1</v>
      </c>
      <c r="E11" s="62" t="str">
        <f t="shared" ref="E11:E32" si="1">IF(D11&lt;=0,"🔴 Sin stock",IF(D11&lt;=2,"🟡 Stock bajo","🟢 OK"))</f>
        <v>🟡 Stock bajo</v>
      </c>
      <c r="G11" s="61" t="s">
        <v>48</v>
      </c>
      <c r="H11" s="62">
        <f t="shared" ref="H11:H31" si="2">C11</f>
        <v>0</v>
      </c>
      <c r="I11" s="69">
        <f>IFERROR(SUMIFS(Ventas!$F$4:$F$24,Ventas!$C$4:$C$24,"QAED AL FURSAN EDP 90ML HOMBRE",Ventas!$A$4:$A$24,TRUE),0)</f>
        <v>0</v>
      </c>
      <c r="J11" s="70">
        <f>IFERROR(SUMIFS(Ventas!$G$4:$G$24,Ventas!$C$4:$C$24,"QAED AL FURSAN EDP 90ML HOMBRE",Ventas!$A$4:$A$24,TRUE),0)</f>
        <v>0</v>
      </c>
      <c r="K11" s="71">
        <f t="shared" ref="K11:K31" si="3">I11-J11</f>
        <v>0</v>
      </c>
      <c r="L11" s="72">
        <f t="shared" ref="L11:L32" si="4">IFERROR(K11/I11*100,0)</f>
        <v>0</v>
      </c>
    </row>
    <row r="12" spans="1:12" ht="22" customHeight="1" x14ac:dyDescent="0.2">
      <c r="A12" s="64" t="s">
        <v>49</v>
      </c>
      <c r="B12" s="65">
        <f>IFERROR(SUMIF(Gastos!$B$4:$B$24,"ECLAIR EDP 35ML MUJER",Gastos!$C$4:$C$24),0)</f>
        <v>1</v>
      </c>
      <c r="C12" s="65">
        <f>IFERROR(SUMIFS(Ventas!$D$4:$D$24,Ventas!$C$4:$C$24,"ECLAIR EDP 35ML MUJER",Ventas!$A$4:$A$24,TRUE),0)</f>
        <v>0</v>
      </c>
      <c r="D12" s="66">
        <f t="shared" si="0"/>
        <v>1</v>
      </c>
      <c r="E12" s="65" t="str">
        <f t="shared" si="1"/>
        <v>🟡 Stock bajo</v>
      </c>
      <c r="G12" s="73" t="s">
        <v>49</v>
      </c>
      <c r="H12" s="74">
        <f t="shared" si="2"/>
        <v>0</v>
      </c>
      <c r="I12" s="75">
        <f>IFERROR(SUMIFS(Ventas!$F$4:$F$24,Ventas!$C$4:$C$24,"ECLAIR EDP 35ML MUJER",Ventas!$A$4:$A$24,TRUE),0)</f>
        <v>0</v>
      </c>
      <c r="J12" s="76">
        <f>IFERROR(SUMIFS(Ventas!$G$4:$G$24,Ventas!$C$4:$C$24,"ECLAIR EDP 35ML MUJER",Ventas!$A$4:$A$24,TRUE),0)</f>
        <v>0</v>
      </c>
      <c r="K12" s="77">
        <f t="shared" si="3"/>
        <v>0</v>
      </c>
      <c r="L12" s="78">
        <f t="shared" si="4"/>
        <v>0</v>
      </c>
    </row>
    <row r="13" spans="1:12" ht="22" customHeight="1" x14ac:dyDescent="0.2">
      <c r="A13" s="61" t="s">
        <v>50</v>
      </c>
      <c r="B13" s="62">
        <f>IFERROR(SUMIF(Gastos!$B$4:$B$24,"RAVE NOW EDP 100ML UNISEX",Gastos!$C$4:$C$24),0)</f>
        <v>1</v>
      </c>
      <c r="C13" s="62">
        <f>IFERROR(SUMIFS(Ventas!$D$4:$D$24,Ventas!$C$4:$C$24,"RAVE NOW EDP 100ML UNISEX",Ventas!$A$4:$A$24,TRUE),0)</f>
        <v>0</v>
      </c>
      <c r="D13" s="63">
        <f t="shared" si="0"/>
        <v>1</v>
      </c>
      <c r="E13" s="62" t="str">
        <f t="shared" si="1"/>
        <v>🟡 Stock bajo</v>
      </c>
      <c r="G13" s="61" t="s">
        <v>50</v>
      </c>
      <c r="H13" s="62">
        <f t="shared" si="2"/>
        <v>0</v>
      </c>
      <c r="I13" s="69">
        <f>IFERROR(SUMIFS(Ventas!$F$4:$F$24,Ventas!$C$4:$C$24,"RAVE NOW EDP 100ML UNISEX",Ventas!$A$4:$A$24,TRUE),0)</f>
        <v>0</v>
      </c>
      <c r="J13" s="70">
        <f>IFERROR(SUMIFS(Ventas!$G$4:$G$24,Ventas!$C$4:$C$24,"RAVE NOW EDP 100ML UNISEX",Ventas!$A$4:$A$24,TRUE),0)</f>
        <v>0</v>
      </c>
      <c r="K13" s="71">
        <f t="shared" si="3"/>
        <v>0</v>
      </c>
      <c r="L13" s="72">
        <f t="shared" si="4"/>
        <v>0</v>
      </c>
    </row>
    <row r="14" spans="1:12" ht="22" customHeight="1" x14ac:dyDescent="0.2">
      <c r="A14" s="64" t="s">
        <v>51</v>
      </c>
      <c r="B14" s="65">
        <f>IFERROR(SUMIF(Gastos!$B$4:$B$24,"HAWAS FOR HIM EDP 100ML HOMBRE",Gastos!$C$4:$C$24),0)</f>
        <v>1</v>
      </c>
      <c r="C14" s="65">
        <f>IFERROR(SUMIFS(Ventas!$D$4:$D$24,Ventas!$C$4:$C$24,"HAWAS FOR HIM EDP 100ML HOMBRE",Ventas!$A$4:$A$24,TRUE),0)</f>
        <v>0</v>
      </c>
      <c r="D14" s="66">
        <f t="shared" si="0"/>
        <v>1</v>
      </c>
      <c r="E14" s="65" t="str">
        <f t="shared" si="1"/>
        <v>🟡 Stock bajo</v>
      </c>
      <c r="G14" s="73" t="s">
        <v>51</v>
      </c>
      <c r="H14" s="74">
        <f t="shared" si="2"/>
        <v>0</v>
      </c>
      <c r="I14" s="75">
        <f>IFERROR(SUMIFS(Ventas!$F$4:$F$24,Ventas!$C$4:$C$24,"HAWAS FOR HIM EDP 100ML HOMBRE",Ventas!$A$4:$A$24,TRUE),0)</f>
        <v>0</v>
      </c>
      <c r="J14" s="76">
        <f>IFERROR(SUMIFS(Ventas!$G$4:$G$24,Ventas!$C$4:$C$24,"HAWAS FOR HIM EDP 100ML HOMBRE",Ventas!$A$4:$A$24,TRUE),0)</f>
        <v>0</v>
      </c>
      <c r="K14" s="77">
        <f t="shared" si="3"/>
        <v>0</v>
      </c>
      <c r="L14" s="78">
        <f t="shared" si="4"/>
        <v>0</v>
      </c>
    </row>
    <row r="15" spans="1:12" ht="22" customHeight="1" x14ac:dyDescent="0.2">
      <c r="A15" s="61" t="s">
        <v>52</v>
      </c>
      <c r="B15" s="62">
        <f>IFERROR(SUMIF(Gastos!$B$4:$B$24,"AQUATICA EDP 100ML HOMBRE",Gastos!$C$4:$C$24),0)</f>
        <v>1</v>
      </c>
      <c r="C15" s="62">
        <f>IFERROR(SUMIFS(Ventas!$D$4:$D$24,Ventas!$C$4:$C$24,"AQUATICA EDP 100ML HOMBRE",Ventas!$A$4:$A$24,TRUE),0)</f>
        <v>0</v>
      </c>
      <c r="D15" s="63">
        <f t="shared" si="0"/>
        <v>1</v>
      </c>
      <c r="E15" s="62" t="str">
        <f t="shared" si="1"/>
        <v>🟡 Stock bajo</v>
      </c>
      <c r="G15" s="61" t="s">
        <v>52</v>
      </c>
      <c r="H15" s="62">
        <f t="shared" si="2"/>
        <v>0</v>
      </c>
      <c r="I15" s="69">
        <f>IFERROR(SUMIFS(Ventas!$F$4:$F$24,Ventas!$C$4:$C$24,"AQUATICA EDP 100ML HOMBRE",Ventas!$A$4:$A$24,TRUE),0)</f>
        <v>0</v>
      </c>
      <c r="J15" s="70">
        <f>IFERROR(SUMIFS(Ventas!$G$4:$G$24,Ventas!$C$4:$C$24,"AQUATICA EDP 100ML HOMBRE",Ventas!$A$4:$A$24,TRUE),0)</f>
        <v>0</v>
      </c>
      <c r="K15" s="71">
        <f t="shared" si="3"/>
        <v>0</v>
      </c>
      <c r="L15" s="72">
        <f t="shared" si="4"/>
        <v>0</v>
      </c>
    </row>
    <row r="16" spans="1:12" ht="22" customHeight="1" x14ac:dyDescent="0.2">
      <c r="A16" s="64" t="s">
        <v>53</v>
      </c>
      <c r="B16" s="65">
        <f>IFERROR(SUMIF(Gastos!$B$4:$B$24,"MAS EDP 100ML UNISEX",Gastos!$C$4:$C$24),0)</f>
        <v>1</v>
      </c>
      <c r="C16" s="65">
        <f>IFERROR(SUMIFS(Ventas!$D$4:$D$24,Ventas!$C$4:$C$24,"MAS EDP 100ML UNISEX",Ventas!$A$4:$A$24,TRUE),0)</f>
        <v>0</v>
      </c>
      <c r="D16" s="66">
        <f t="shared" si="0"/>
        <v>1</v>
      </c>
      <c r="E16" s="65" t="str">
        <f t="shared" si="1"/>
        <v>🟡 Stock bajo</v>
      </c>
      <c r="G16" s="73" t="s">
        <v>53</v>
      </c>
      <c r="H16" s="74">
        <f t="shared" si="2"/>
        <v>0</v>
      </c>
      <c r="I16" s="75">
        <f>IFERROR(SUMIFS(Ventas!$F$4:$F$24,Ventas!$C$4:$C$24,"MAS EDP 100ML UNISEX",Ventas!$A$4:$A$24,TRUE),0)</f>
        <v>0</v>
      </c>
      <c r="J16" s="76">
        <f>IFERROR(SUMIFS(Ventas!$G$4:$G$24,Ventas!$C$4:$C$24,"MAS EDP 100ML UNISEX",Ventas!$A$4:$A$24,TRUE),0)</f>
        <v>0</v>
      </c>
      <c r="K16" s="77">
        <f t="shared" si="3"/>
        <v>0</v>
      </c>
      <c r="L16" s="78">
        <f t="shared" si="4"/>
        <v>0</v>
      </c>
    </row>
    <row r="17" spans="1:12" ht="22" customHeight="1" x14ac:dyDescent="0.2">
      <c r="A17" s="61" t="s">
        <v>54</v>
      </c>
      <c r="B17" s="62">
        <f>IFERROR(SUMIF(Gastos!$B$4:$B$24,"VULCAN FEU EDP 100ML UNISEX",Gastos!$C$4:$C$24),0)</f>
        <v>1</v>
      </c>
      <c r="C17" s="62">
        <f>IFERROR(SUMIFS(Ventas!$D$4:$D$24,Ventas!$C$4:$C$24,"VULCAN FEU EDP 100ML UNISEX",Ventas!$A$4:$A$24,TRUE),0)</f>
        <v>0</v>
      </c>
      <c r="D17" s="63">
        <f t="shared" si="0"/>
        <v>1</v>
      </c>
      <c r="E17" s="62" t="str">
        <f t="shared" si="1"/>
        <v>🟡 Stock bajo</v>
      </c>
      <c r="G17" s="61" t="s">
        <v>54</v>
      </c>
      <c r="H17" s="62">
        <f t="shared" si="2"/>
        <v>0</v>
      </c>
      <c r="I17" s="69">
        <f>IFERROR(SUMIFS(Ventas!$F$4:$F$24,Ventas!$C$4:$C$24,"VULCAN FEU EDP 100ML UNISEX",Ventas!$A$4:$A$24,TRUE),0)</f>
        <v>0</v>
      </c>
      <c r="J17" s="70">
        <f>IFERROR(SUMIFS(Ventas!$G$4:$G$24,Ventas!$C$4:$C$24,"VULCAN FEU EDP 100ML UNISEX",Ventas!$A$4:$A$24,TRUE),0)</f>
        <v>0</v>
      </c>
      <c r="K17" s="71">
        <f t="shared" si="3"/>
        <v>0</v>
      </c>
      <c r="L17" s="72">
        <f t="shared" si="4"/>
        <v>0</v>
      </c>
    </row>
    <row r="18" spans="1:12" ht="22" customHeight="1" x14ac:dyDescent="0.2">
      <c r="A18" s="64" t="s">
        <v>55</v>
      </c>
      <c r="B18" s="65">
        <f>IFERROR(SUMIF(Gastos!$B$4:$B$24,"ASAD ELIXIR EDP 100ML HOMBRE",Gastos!$C$4:$C$24),0)</f>
        <v>1</v>
      </c>
      <c r="C18" s="65">
        <f>IFERROR(SUMIFS(Ventas!$D$4:$D$24,Ventas!$C$4:$C$24,"ASAD ELIXIR EDP 100ML HOMBRE",Ventas!$A$4:$A$24,TRUE),0)</f>
        <v>0</v>
      </c>
      <c r="D18" s="66">
        <f t="shared" si="0"/>
        <v>1</v>
      </c>
      <c r="E18" s="65" t="str">
        <f t="shared" si="1"/>
        <v>🟡 Stock bajo</v>
      </c>
      <c r="G18" s="73" t="s">
        <v>55</v>
      </c>
      <c r="H18" s="74">
        <f t="shared" si="2"/>
        <v>0</v>
      </c>
      <c r="I18" s="75">
        <f>IFERROR(SUMIFS(Ventas!$F$4:$F$24,Ventas!$C$4:$C$24,"ASAD ELIXIR EDP 100ML HOMBRE",Ventas!$A$4:$A$24,TRUE),0)</f>
        <v>0</v>
      </c>
      <c r="J18" s="76">
        <f>IFERROR(SUMIFS(Ventas!$G$4:$G$24,Ventas!$C$4:$C$24,"ASAD ELIXIR EDP 100ML HOMBRE",Ventas!$A$4:$A$24,TRUE),0)</f>
        <v>0</v>
      </c>
      <c r="K18" s="77">
        <f t="shared" si="3"/>
        <v>0</v>
      </c>
      <c r="L18" s="78">
        <f t="shared" si="4"/>
        <v>0</v>
      </c>
    </row>
    <row r="19" spans="1:12" ht="22" customHeight="1" x14ac:dyDescent="0.2">
      <c r="A19" s="61" t="s">
        <v>56</v>
      </c>
      <c r="B19" s="62">
        <f>IFERROR(SUMIF(Gastos!$B$4:$B$24,"HAYAATI EDP 100ML HOMBRE",Gastos!$C$4:$C$24),0)</f>
        <v>1</v>
      </c>
      <c r="C19" s="62">
        <f>IFERROR(SUMIFS(Ventas!$D$4:$D$24,Ventas!$C$4:$C$24,"HAYAATI EDP 100ML HOMBRE",Ventas!$A$4:$A$24,TRUE),0)</f>
        <v>0</v>
      </c>
      <c r="D19" s="63">
        <f t="shared" si="0"/>
        <v>1</v>
      </c>
      <c r="E19" s="62" t="str">
        <f t="shared" si="1"/>
        <v>🟡 Stock bajo</v>
      </c>
      <c r="G19" s="61" t="s">
        <v>56</v>
      </c>
      <c r="H19" s="62">
        <f t="shared" si="2"/>
        <v>0</v>
      </c>
      <c r="I19" s="69">
        <f>IFERROR(SUMIFS(Ventas!$F$4:$F$24,Ventas!$C$4:$C$24,"HAYAATI EDP 100ML HOMBRE",Ventas!$A$4:$A$24,TRUE),0)</f>
        <v>0</v>
      </c>
      <c r="J19" s="70">
        <f>IFERROR(SUMIFS(Ventas!$G$4:$G$24,Ventas!$C$4:$C$24,"HAYAATI EDP 100ML HOMBRE",Ventas!$A$4:$A$24,TRUE),0)</f>
        <v>0</v>
      </c>
      <c r="K19" s="71">
        <f t="shared" si="3"/>
        <v>0</v>
      </c>
      <c r="L19" s="72">
        <f t="shared" si="4"/>
        <v>0</v>
      </c>
    </row>
    <row r="20" spans="1:12" ht="22" customHeight="1" x14ac:dyDescent="0.2">
      <c r="A20" s="64" t="s">
        <v>57</v>
      </c>
      <c r="B20" s="65">
        <f>IFERROR(SUMIF(Gastos!$B$4:$B$24,"MANDARIN SKY EDP 100ML HOMBRE",Gastos!$C$4:$C$24),0)</f>
        <v>1</v>
      </c>
      <c r="C20" s="65">
        <f>IFERROR(SUMIFS(Ventas!$D$4:$D$24,Ventas!$C$4:$C$24,"MANDARIN SKY EDP 100ML HOMBRE",Ventas!$A$4:$A$24,TRUE),0)</f>
        <v>0</v>
      </c>
      <c r="D20" s="66">
        <f t="shared" si="0"/>
        <v>1</v>
      </c>
      <c r="E20" s="65" t="str">
        <f t="shared" si="1"/>
        <v>🟡 Stock bajo</v>
      </c>
      <c r="G20" s="73" t="s">
        <v>57</v>
      </c>
      <c r="H20" s="74">
        <f t="shared" si="2"/>
        <v>0</v>
      </c>
      <c r="I20" s="75">
        <f>IFERROR(SUMIFS(Ventas!$F$4:$F$24,Ventas!$C$4:$C$24,"MANDARIN SKY EDP 100ML HOMBRE",Ventas!$A$4:$A$24,TRUE),0)</f>
        <v>0</v>
      </c>
      <c r="J20" s="76">
        <f>IFERROR(SUMIFS(Ventas!$G$4:$G$24,Ventas!$C$4:$C$24,"MANDARIN SKY EDP 100ML HOMBRE",Ventas!$A$4:$A$24,TRUE),0)</f>
        <v>0</v>
      </c>
      <c r="K20" s="77">
        <f t="shared" si="3"/>
        <v>0</v>
      </c>
      <c r="L20" s="78">
        <f t="shared" si="4"/>
        <v>0</v>
      </c>
    </row>
    <row r="21" spans="1:12" ht="22" customHeight="1" x14ac:dyDescent="0.2">
      <c r="A21" s="61" t="s">
        <v>58</v>
      </c>
      <c r="B21" s="62">
        <f>IFERROR(SUMIF(Gastos!$B$4:$B$24,"LIQUID BRUN EDP 100ML UNISEX",Gastos!$C$4:$C$24),0)</f>
        <v>1</v>
      </c>
      <c r="C21" s="62">
        <f>IFERROR(SUMIFS(Ventas!$D$4:$D$24,Ventas!$C$4:$C$24,"LIQUID BRUN EDP 100ML UNISEX",Ventas!$A$4:$A$24,TRUE),0)</f>
        <v>0</v>
      </c>
      <c r="D21" s="63">
        <f t="shared" si="0"/>
        <v>1</v>
      </c>
      <c r="E21" s="62" t="str">
        <f t="shared" si="1"/>
        <v>🟡 Stock bajo</v>
      </c>
      <c r="G21" s="61" t="s">
        <v>58</v>
      </c>
      <c r="H21" s="62">
        <f t="shared" si="2"/>
        <v>0</v>
      </c>
      <c r="I21" s="69">
        <f>IFERROR(SUMIFS(Ventas!$F$4:$F$24,Ventas!$C$4:$C$24,"LIQUID BRUN EDP 100ML UNISEX",Ventas!$A$4:$A$24,TRUE),0)</f>
        <v>0</v>
      </c>
      <c r="J21" s="70">
        <f>IFERROR(SUMIFS(Ventas!$G$4:$G$24,Ventas!$C$4:$C$24,"LIQUID BRUN EDP 100ML UNISEX",Ventas!$A$4:$A$24,TRUE),0)</f>
        <v>0</v>
      </c>
      <c r="K21" s="71">
        <f t="shared" si="3"/>
        <v>0</v>
      </c>
      <c r="L21" s="72">
        <f t="shared" si="4"/>
        <v>0</v>
      </c>
    </row>
    <row r="22" spans="1:12" ht="22" customHeight="1" x14ac:dyDescent="0.2">
      <c r="A22" s="64" t="s">
        <v>59</v>
      </c>
      <c r="B22" s="65">
        <f>IFERROR(SUMIF(Gastos!$B$4:$B$24,"HAWAS ICE EDP 100ML HOMBRE",Gastos!$C$4:$C$24),0)</f>
        <v>1</v>
      </c>
      <c r="C22" s="65">
        <f>IFERROR(SUMIFS(Ventas!$D$4:$D$24,Ventas!$C$4:$C$24,"HAWAS ICE EDP 100ML HOMBRE",Ventas!$A$4:$A$24,TRUE),0)</f>
        <v>0</v>
      </c>
      <c r="D22" s="66">
        <f t="shared" si="0"/>
        <v>1</v>
      </c>
      <c r="E22" s="65" t="str">
        <f t="shared" si="1"/>
        <v>🟡 Stock bajo</v>
      </c>
      <c r="G22" s="73" t="s">
        <v>59</v>
      </c>
      <c r="H22" s="74">
        <f t="shared" si="2"/>
        <v>0</v>
      </c>
      <c r="I22" s="75">
        <f>IFERROR(SUMIFS(Ventas!$F$4:$F$24,Ventas!$C$4:$C$24,"HAWAS ICE EDP 100ML HOMBRE",Ventas!$A$4:$A$24,TRUE),0)</f>
        <v>0</v>
      </c>
      <c r="J22" s="76">
        <f>IFERROR(SUMIFS(Ventas!$G$4:$G$24,Ventas!$C$4:$C$24,"HAWAS ICE EDP 100ML HOMBRE",Ventas!$A$4:$A$24,TRUE),0)</f>
        <v>0</v>
      </c>
      <c r="K22" s="77">
        <f t="shared" si="3"/>
        <v>0</v>
      </c>
      <c r="L22" s="78">
        <f t="shared" si="4"/>
        <v>0</v>
      </c>
    </row>
    <row r="23" spans="1:12" ht="22" customHeight="1" x14ac:dyDescent="0.2">
      <c r="A23" s="61" t="s">
        <v>60</v>
      </c>
      <c r="B23" s="62">
        <f>IFERROR(SUMIF(Gastos!$B$4:$B$24,"ASAD EDP 30ML HOMBRE",Gastos!$C$4:$C$24),0)</f>
        <v>1</v>
      </c>
      <c r="C23" s="62">
        <f>IFERROR(SUMIFS(Ventas!$D$4:$D$24,Ventas!$C$4:$C$24,"ASAD EDP 30ML HOMBRE",Ventas!$A$4:$A$24,TRUE),0)</f>
        <v>0</v>
      </c>
      <c r="D23" s="63">
        <f t="shared" si="0"/>
        <v>1</v>
      </c>
      <c r="E23" s="62" t="str">
        <f t="shared" si="1"/>
        <v>🟡 Stock bajo</v>
      </c>
      <c r="G23" s="61" t="s">
        <v>60</v>
      </c>
      <c r="H23" s="62">
        <f t="shared" si="2"/>
        <v>0</v>
      </c>
      <c r="I23" s="69">
        <f>IFERROR(SUMIFS(Ventas!$F$4:$F$24,Ventas!$C$4:$C$24,"ASAD EDP 30ML HOMBRE",Ventas!$A$4:$A$24,TRUE),0)</f>
        <v>0</v>
      </c>
      <c r="J23" s="70">
        <f>IFERROR(SUMIFS(Ventas!$G$4:$G$24,Ventas!$C$4:$C$24,"ASAD EDP 30ML HOMBRE",Ventas!$A$4:$A$24,TRUE),0)</f>
        <v>0</v>
      </c>
      <c r="K23" s="71">
        <f t="shared" si="3"/>
        <v>0</v>
      </c>
      <c r="L23" s="72">
        <f t="shared" si="4"/>
        <v>0</v>
      </c>
    </row>
    <row r="24" spans="1:12" ht="22" customHeight="1" x14ac:dyDescent="0.2">
      <c r="A24" s="64" t="s">
        <v>61</v>
      </c>
      <c r="B24" s="65">
        <f>IFERROR(SUMIF(Gastos!$B$4:$B$24,"OUD FOR GLORY WHITE EDP 30ML UNISEX",Gastos!$C$4:$C$24),0)</f>
        <v>1</v>
      </c>
      <c r="C24" s="65">
        <f>IFERROR(SUMIFS(Ventas!$D$4:$D$24,Ventas!$C$4:$C$24,"OUD FOR GLORY WHITE EDP 30ML UNISEX",Ventas!$A$4:$A$24,TRUE),0)</f>
        <v>0</v>
      </c>
      <c r="D24" s="66">
        <f t="shared" si="0"/>
        <v>1</v>
      </c>
      <c r="E24" s="65" t="str">
        <f t="shared" si="1"/>
        <v>🟡 Stock bajo</v>
      </c>
      <c r="G24" s="73" t="s">
        <v>61</v>
      </c>
      <c r="H24" s="74">
        <f t="shared" si="2"/>
        <v>0</v>
      </c>
      <c r="I24" s="75">
        <f>IFERROR(SUMIFS(Ventas!$F$4:$F$24,Ventas!$C$4:$C$24,"OUD FOR GLORY WHITE EDP 30ML UNISEX",Ventas!$A$4:$A$24,TRUE),0)</f>
        <v>0</v>
      </c>
      <c r="J24" s="76">
        <f>IFERROR(SUMIFS(Ventas!$G$4:$G$24,Ventas!$C$4:$C$24,"OUD FOR GLORY WHITE EDP 30ML UNISEX",Ventas!$A$4:$A$24,TRUE),0)</f>
        <v>0</v>
      </c>
      <c r="K24" s="77">
        <f t="shared" si="3"/>
        <v>0</v>
      </c>
      <c r="L24" s="78">
        <f t="shared" si="4"/>
        <v>0</v>
      </c>
    </row>
    <row r="25" spans="1:12" ht="22" customHeight="1" x14ac:dyDescent="0.2">
      <c r="A25" s="61" t="s">
        <v>62</v>
      </c>
      <c r="B25" s="62">
        <f>IFERROR(SUMIF(Gastos!$B$4:$B$24,"SCANDAL EDP 25ML HOMBRE",Gastos!$C$4:$C$24),0)</f>
        <v>1</v>
      </c>
      <c r="C25" s="62">
        <f>IFERROR(SUMIFS(Ventas!$D$4:$D$24,Ventas!$C$4:$C$24,"SCANDAL EDP 25ML HOMBRE",Ventas!$A$4:$A$24,TRUE),0)</f>
        <v>0</v>
      </c>
      <c r="D25" s="63">
        <f t="shared" si="0"/>
        <v>1</v>
      </c>
      <c r="E25" s="62" t="str">
        <f t="shared" si="1"/>
        <v>🟡 Stock bajo</v>
      </c>
      <c r="G25" s="61" t="s">
        <v>62</v>
      </c>
      <c r="H25" s="62">
        <f t="shared" si="2"/>
        <v>0</v>
      </c>
      <c r="I25" s="69">
        <f>IFERROR(SUMIFS(Ventas!$F$4:$F$24,Ventas!$C$4:$C$24,"SCANDAL EDP 25ML HOMBRE",Ventas!$A$4:$A$24,TRUE),0)</f>
        <v>0</v>
      </c>
      <c r="J25" s="70">
        <f>IFERROR(SUMIFS(Ventas!$G$4:$G$24,Ventas!$C$4:$C$24,"SCANDAL EDP 25ML HOMBRE",Ventas!$A$4:$A$24,TRUE),0)</f>
        <v>0</v>
      </c>
      <c r="K25" s="71">
        <f t="shared" si="3"/>
        <v>0</v>
      </c>
      <c r="L25" s="72">
        <f t="shared" si="4"/>
        <v>0</v>
      </c>
    </row>
    <row r="26" spans="1:12" ht="22" customHeight="1" x14ac:dyDescent="0.2">
      <c r="A26" s="64" t="s">
        <v>63</v>
      </c>
      <c r="B26" s="65">
        <f>IFERROR(SUMIF(Gastos!$B$4:$B$24,"SCANDAL WOMEN EDP 30ML MUJER",Gastos!$C$4:$C$24),0)</f>
        <v>1</v>
      </c>
      <c r="C26" s="65">
        <f>IFERROR(SUMIFS(Ventas!$D$4:$D$24,Ventas!$C$4:$C$24,"SCANDAL WOMEN EDP 30ML MUJER",Ventas!$A$4:$A$24,TRUE),0)</f>
        <v>0</v>
      </c>
      <c r="D26" s="66">
        <f t="shared" si="0"/>
        <v>1</v>
      </c>
      <c r="E26" s="65" t="str">
        <f t="shared" si="1"/>
        <v>🟡 Stock bajo</v>
      </c>
      <c r="G26" s="73" t="s">
        <v>63</v>
      </c>
      <c r="H26" s="74">
        <f t="shared" si="2"/>
        <v>0</v>
      </c>
      <c r="I26" s="75">
        <f>IFERROR(SUMIFS(Ventas!$F$4:$F$24,Ventas!$C$4:$C$24,"SCANDAL WOMEN EDP 30ML MUJER",Ventas!$A$4:$A$24,TRUE),0)</f>
        <v>0</v>
      </c>
      <c r="J26" s="76">
        <f>IFERROR(SUMIFS(Ventas!$G$4:$G$24,Ventas!$C$4:$C$24,"SCANDAL WOMEN EDP 30ML MUJER",Ventas!$A$4:$A$24,TRUE),0)</f>
        <v>0</v>
      </c>
      <c r="K26" s="77">
        <f t="shared" si="3"/>
        <v>0</v>
      </c>
      <c r="L26" s="78">
        <f t="shared" si="4"/>
        <v>0</v>
      </c>
    </row>
    <row r="27" spans="1:12" ht="22" customHeight="1" x14ac:dyDescent="0.2">
      <c r="A27" s="61" t="s">
        <v>64</v>
      </c>
      <c r="B27" s="62">
        <f>IFERROR(SUMIF(Gastos!$B$4:$B$24,"SARA CANDY EDP 30ML MUJER",Gastos!$C$4:$C$24),0)</f>
        <v>1</v>
      </c>
      <c r="C27" s="62">
        <f>IFERROR(SUMIFS(Ventas!$D$4:$D$24,Ventas!$C$4:$C$24,"SARA CANDY EDP 30ML MUJER",Ventas!$A$4:$A$24,TRUE),0)</f>
        <v>0</v>
      </c>
      <c r="D27" s="63">
        <f t="shared" si="0"/>
        <v>1</v>
      </c>
      <c r="E27" s="62" t="str">
        <f t="shared" si="1"/>
        <v>🟡 Stock bajo</v>
      </c>
      <c r="G27" s="61" t="s">
        <v>64</v>
      </c>
      <c r="H27" s="62">
        <f t="shared" si="2"/>
        <v>0</v>
      </c>
      <c r="I27" s="69">
        <f>IFERROR(SUMIFS(Ventas!$F$4:$F$24,Ventas!$C$4:$C$24,"SARA CANDY EDP 30ML MUJER",Ventas!$A$4:$A$24,TRUE),0)</f>
        <v>0</v>
      </c>
      <c r="J27" s="70">
        <f>IFERROR(SUMIFS(Ventas!$G$4:$G$24,Ventas!$C$4:$C$24,"SARA CANDY EDP 30ML MUJER",Ventas!$A$4:$A$24,TRUE),0)</f>
        <v>0</v>
      </c>
      <c r="K27" s="71">
        <f t="shared" si="3"/>
        <v>0</v>
      </c>
      <c r="L27" s="72">
        <f t="shared" si="4"/>
        <v>0</v>
      </c>
    </row>
    <row r="28" spans="1:12" ht="22" customHeight="1" x14ac:dyDescent="0.2">
      <c r="A28" s="64" t="s">
        <v>65</v>
      </c>
      <c r="B28" s="65">
        <f>IFERROR(SUMIF(Gastos!$B$4:$B$24,"KAMRAH EDP 30ML HOMBRE",Gastos!$C$4:$C$24),0)</f>
        <v>1</v>
      </c>
      <c r="C28" s="65">
        <f>IFERROR(SUMIFS(Ventas!$D$4:$D$24,Ventas!$C$4:$C$24,"KAMRAH EDP 30ML HOMBRE",Ventas!$A$4:$A$24,TRUE),0)</f>
        <v>0</v>
      </c>
      <c r="D28" s="66">
        <f t="shared" si="0"/>
        <v>1</v>
      </c>
      <c r="E28" s="65" t="str">
        <f t="shared" si="1"/>
        <v>🟡 Stock bajo</v>
      </c>
      <c r="G28" s="73" t="s">
        <v>65</v>
      </c>
      <c r="H28" s="74">
        <f t="shared" si="2"/>
        <v>0</v>
      </c>
      <c r="I28" s="75">
        <f>IFERROR(SUMIFS(Ventas!$F$4:$F$24,Ventas!$C$4:$C$24,"KAMRAH EDP 30ML HOMBRE",Ventas!$A$4:$A$24,TRUE),0)</f>
        <v>0</v>
      </c>
      <c r="J28" s="76">
        <f>IFERROR(SUMIFS(Ventas!$G$4:$G$24,Ventas!$C$4:$C$24,"KAMRAH EDP 30ML HOMBRE",Ventas!$A$4:$A$24,TRUE),0)</f>
        <v>0</v>
      </c>
      <c r="K28" s="77">
        <f t="shared" si="3"/>
        <v>0</v>
      </c>
      <c r="L28" s="78">
        <f t="shared" si="4"/>
        <v>0</v>
      </c>
    </row>
    <row r="29" spans="1:12" ht="22" customHeight="1" x14ac:dyDescent="0.2">
      <c r="A29" s="61" t="s">
        <v>66</v>
      </c>
      <c r="B29" s="62">
        <f>IFERROR(SUMIF(Gastos!$B$4:$B$24,"NOW PINK EDP 30ML MUJER",Gastos!$C$4:$C$24),0)</f>
        <v>1</v>
      </c>
      <c r="C29" s="62">
        <f>IFERROR(SUMIFS(Ventas!$D$4:$D$24,Ventas!$C$4:$C$24,"NOW PINK EDP 30ML MUJER",Ventas!$A$4:$A$24,TRUE),0)</f>
        <v>0</v>
      </c>
      <c r="D29" s="63">
        <f t="shared" si="0"/>
        <v>1</v>
      </c>
      <c r="E29" s="62" t="str">
        <f t="shared" si="1"/>
        <v>🟡 Stock bajo</v>
      </c>
      <c r="G29" s="61" t="s">
        <v>66</v>
      </c>
      <c r="H29" s="62">
        <f t="shared" si="2"/>
        <v>0</v>
      </c>
      <c r="I29" s="69">
        <f>IFERROR(SUMIFS(Ventas!$F$4:$F$24,Ventas!$C$4:$C$24,"NOW PINK EDP 30ML MUJER",Ventas!$A$4:$A$24,TRUE),0)</f>
        <v>0</v>
      </c>
      <c r="J29" s="70">
        <f>IFERROR(SUMIFS(Ventas!$G$4:$G$24,Ventas!$C$4:$C$24,"NOW PINK EDP 30ML MUJER",Ventas!$A$4:$A$24,TRUE),0)</f>
        <v>0</v>
      </c>
      <c r="K29" s="71">
        <f t="shared" si="3"/>
        <v>0</v>
      </c>
      <c r="L29" s="72">
        <f t="shared" si="4"/>
        <v>0</v>
      </c>
    </row>
    <row r="30" spans="1:12" ht="22" customHeight="1" x14ac:dyDescent="0.2">
      <c r="A30" s="64" t="s">
        <v>67</v>
      </c>
      <c r="B30" s="65">
        <f>IFERROR(SUMIF(Gastos!$B$4:$B$24,"HAYAATI BODY MIST 250ML HOMBRE",Gastos!$C$4:$C$24),0)</f>
        <v>1</v>
      </c>
      <c r="C30" s="65">
        <f>IFERROR(SUMIFS(Ventas!$D$4:$D$24,Ventas!$C$4:$C$24,"HAYAATI BODY MIST 250ML HOMBRE",Ventas!$A$4:$A$24,TRUE),0)</f>
        <v>0</v>
      </c>
      <c r="D30" s="66">
        <f t="shared" si="0"/>
        <v>1</v>
      </c>
      <c r="E30" s="65" t="str">
        <f t="shared" si="1"/>
        <v>🟡 Stock bajo</v>
      </c>
      <c r="G30" s="73" t="s">
        <v>67</v>
      </c>
      <c r="H30" s="74">
        <f t="shared" si="2"/>
        <v>0</v>
      </c>
      <c r="I30" s="75">
        <f>IFERROR(SUMIFS(Ventas!$F$4:$F$24,Ventas!$C$4:$C$24,"HAYAATI BODY MIST 250ML HOMBRE",Ventas!$A$4:$A$24,TRUE),0)</f>
        <v>0</v>
      </c>
      <c r="J30" s="76">
        <f>IFERROR(SUMIFS(Ventas!$G$4:$G$24,Ventas!$C$4:$C$24,"HAYAATI BODY MIST 250ML HOMBRE",Ventas!$A$4:$A$24,TRUE),0)</f>
        <v>0</v>
      </c>
      <c r="K30" s="77">
        <f t="shared" si="3"/>
        <v>0</v>
      </c>
      <c r="L30" s="78">
        <f t="shared" si="4"/>
        <v>0</v>
      </c>
    </row>
    <row r="31" spans="1:12" ht="22" customHeight="1" x14ac:dyDescent="0.2">
      <c r="A31" s="61" t="s">
        <v>68</v>
      </c>
      <c r="B31" s="62">
        <f>IFERROR(SUMIF(Gastos!$B$4:$B$24,"MUESTRA 5ML UNISEX",Gastos!$C$4:$C$24),0)</f>
        <v>1</v>
      </c>
      <c r="C31" s="62">
        <f>IFERROR(SUMIFS(Ventas!$D$4:$D$24,Ventas!$C$4:$C$24,"MUESTRA 5ML UNISEX",Ventas!$A$4:$A$24,TRUE),0)</f>
        <v>0</v>
      </c>
      <c r="D31" s="63">
        <f t="shared" si="0"/>
        <v>1</v>
      </c>
      <c r="E31" s="62" t="str">
        <f t="shared" si="1"/>
        <v>🟡 Stock bajo</v>
      </c>
      <c r="G31" s="61" t="s">
        <v>68</v>
      </c>
      <c r="H31" s="62">
        <f t="shared" si="2"/>
        <v>0</v>
      </c>
      <c r="I31" s="69">
        <f>IFERROR(SUMIFS(Ventas!$F$4:$F$24,Ventas!$C$4:$C$24,"MUESTRA 5ML UNISEX",Ventas!$A$4:$A$24,TRUE),0)</f>
        <v>0</v>
      </c>
      <c r="J31" s="70">
        <f>IFERROR(SUMIFS(Ventas!$G$4:$G$24,Ventas!$C$4:$C$24,"MUESTRA 5ML UNISEX",Ventas!$A$4:$A$24,TRUE),0)</f>
        <v>0</v>
      </c>
      <c r="K31" s="71">
        <f t="shared" si="3"/>
        <v>0</v>
      </c>
      <c r="L31" s="72">
        <f t="shared" si="4"/>
        <v>0</v>
      </c>
    </row>
    <row r="32" spans="1:12" ht="26" customHeight="1" x14ac:dyDescent="0.2">
      <c r="A32" s="67" t="s">
        <v>45</v>
      </c>
      <c r="B32" s="68">
        <f>SUM(B11:B31)</f>
        <v>21</v>
      </c>
      <c r="C32" s="68">
        <f>SUM(C11:C31)</f>
        <v>0</v>
      </c>
      <c r="D32" s="67">
        <f>SUM(D11:D31)</f>
        <v>21</v>
      </c>
      <c r="E32" s="65" t="str">
        <f t="shared" si="1"/>
        <v>🟢 OK</v>
      </c>
      <c r="G32" s="79" t="s">
        <v>45</v>
      </c>
      <c r="H32" s="80">
        <f>SUM(H11:H31)</f>
        <v>0</v>
      </c>
      <c r="I32" s="19">
        <f>SUM(I11:I31)</f>
        <v>0</v>
      </c>
      <c r="J32" s="19">
        <f>SUM(J11:J31)</f>
        <v>0</v>
      </c>
      <c r="K32" s="81">
        <f>SUM(K11:K31)</f>
        <v>0</v>
      </c>
      <c r="L32" s="82">
        <f t="shared" si="4"/>
        <v>0</v>
      </c>
    </row>
    <row r="34" spans="1:12" x14ac:dyDescent="0.2">
      <c r="A34" s="195" t="s">
        <v>78</v>
      </c>
      <c r="B34" s="195"/>
      <c r="C34" s="195"/>
      <c r="D34" s="195"/>
      <c r="E34" s="195"/>
      <c r="F34" s="195"/>
      <c r="G34" s="195"/>
      <c r="H34" s="195"/>
      <c r="I34" s="195"/>
      <c r="J34" s="195"/>
      <c r="K34" s="195"/>
      <c r="L34" s="195"/>
    </row>
  </sheetData>
  <mergeCells count="7">
    <mergeCell ref="A34:L34"/>
    <mergeCell ref="A1:L1"/>
    <mergeCell ref="A2:L2"/>
    <mergeCell ref="A3:B3"/>
    <mergeCell ref="D3:E3"/>
    <mergeCell ref="G9:L9"/>
    <mergeCell ref="A9:E9"/>
  </mergeCells>
  <conditionalFormatting sqref="D11:D31">
    <cfRule type="cellIs" dxfId="3" priority="3" operator="lessThanOrEqual">
      <formula>0</formula>
    </cfRule>
    <cfRule type="cellIs" dxfId="2" priority="4" operator="between">
      <formula>1</formula>
      <formula>2</formula>
    </cfRule>
  </conditionalFormatting>
  <conditionalFormatting sqref="K11:K3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C9A6-A1B7-844E-BA2D-D971446F82AF}">
  <dimension ref="A1:E22"/>
  <sheetViews>
    <sheetView workbookViewId="0"/>
  </sheetViews>
  <sheetFormatPr baseColWidth="10" defaultRowHeight="16" x14ac:dyDescent="0.2"/>
  <sheetData>
    <row r="1" spans="1:5" x14ac:dyDescent="0.2">
      <c r="A1" t="s">
        <v>1</v>
      </c>
      <c r="B1" t="s">
        <v>2</v>
      </c>
      <c r="D1" t="s">
        <v>94</v>
      </c>
      <c r="E1" t="s">
        <v>95</v>
      </c>
    </row>
    <row r="2" spans="1:5" x14ac:dyDescent="0.2">
      <c r="A2" t="s">
        <v>112</v>
      </c>
      <c r="B2">
        <f>Gastos!E4</f>
        <v>11900</v>
      </c>
      <c r="D2" t="s">
        <v>70</v>
      </c>
      <c r="E2">
        <f>SUMIF(Gastos!F4:F24,"Recibo #21395",Gastos!E4:E24)</f>
        <v>253800</v>
      </c>
    </row>
    <row r="3" spans="1:5" x14ac:dyDescent="0.2">
      <c r="A3" t="s">
        <v>113</v>
      </c>
      <c r="B3">
        <f>Gastos!E5</f>
        <v>3900</v>
      </c>
      <c r="D3" t="s">
        <v>71</v>
      </c>
      <c r="E3">
        <f>SUMIF(Gastos!F4:F24,"Recibo #21398",Gastos!E4:E24)</f>
        <v>27100</v>
      </c>
    </row>
    <row r="4" spans="1:5" x14ac:dyDescent="0.2">
      <c r="A4" t="s">
        <v>114</v>
      </c>
      <c r="B4">
        <f>Gastos!E6</f>
        <v>13900</v>
      </c>
      <c r="D4" t="s">
        <v>72</v>
      </c>
      <c r="E4">
        <f>SUMIF(Gastos!F4:F24,"Recibo #21402",Gastos!E4:E24)</f>
        <v>22000</v>
      </c>
    </row>
    <row r="5" spans="1:5" x14ac:dyDescent="0.2">
      <c r="A5" t="s">
        <v>115</v>
      </c>
      <c r="B5">
        <f>Gastos!E7</f>
        <v>21900</v>
      </c>
    </row>
    <row r="6" spans="1:5" x14ac:dyDescent="0.2">
      <c r="A6" t="s">
        <v>116</v>
      </c>
      <c r="B6">
        <f>Gastos!E8</f>
        <v>25900</v>
      </c>
    </row>
    <row r="7" spans="1:5" x14ac:dyDescent="0.2">
      <c r="A7" t="s">
        <v>117</v>
      </c>
      <c r="B7">
        <f>Gastos!E9</f>
        <v>29900</v>
      </c>
    </row>
    <row r="8" spans="1:5" x14ac:dyDescent="0.2">
      <c r="A8" t="s">
        <v>118</v>
      </c>
      <c r="B8">
        <f>Gastos!E10</f>
        <v>32900</v>
      </c>
    </row>
    <row r="9" spans="1:5" x14ac:dyDescent="0.2">
      <c r="A9" t="s">
        <v>119</v>
      </c>
      <c r="B9">
        <f>Gastos!E11</f>
        <v>23900</v>
      </c>
    </row>
    <row r="10" spans="1:5" x14ac:dyDescent="0.2">
      <c r="A10" t="s">
        <v>120</v>
      </c>
      <c r="B10">
        <f>Gastos!E12</f>
        <v>11900</v>
      </c>
    </row>
    <row r="11" spans="1:5" x14ac:dyDescent="0.2">
      <c r="A11" t="s">
        <v>121</v>
      </c>
      <c r="B11">
        <f>Gastos!E13</f>
        <v>25900</v>
      </c>
    </row>
    <row r="12" spans="1:5" x14ac:dyDescent="0.2">
      <c r="A12" t="s">
        <v>122</v>
      </c>
      <c r="B12">
        <f>Gastos!E14</f>
        <v>24900</v>
      </c>
    </row>
    <row r="13" spans="1:5" x14ac:dyDescent="0.2">
      <c r="A13" t="s">
        <v>123</v>
      </c>
      <c r="B13">
        <f>Gastos!E15</f>
        <v>26900</v>
      </c>
    </row>
    <row r="14" spans="1:5" x14ac:dyDescent="0.2">
      <c r="A14" t="s">
        <v>124</v>
      </c>
      <c r="B14">
        <f>Gastos!E16</f>
        <v>2900</v>
      </c>
    </row>
    <row r="15" spans="1:5" x14ac:dyDescent="0.2">
      <c r="A15" t="s">
        <v>125</v>
      </c>
      <c r="B15">
        <f>Gastos!E17</f>
        <v>2900</v>
      </c>
    </row>
    <row r="16" spans="1:5" x14ac:dyDescent="0.2">
      <c r="A16" t="s">
        <v>126</v>
      </c>
      <c r="B16">
        <f>Gastos!E18</f>
        <v>2900</v>
      </c>
    </row>
    <row r="17" spans="1:2" x14ac:dyDescent="0.2">
      <c r="A17" t="s">
        <v>89</v>
      </c>
      <c r="B17">
        <f>Gastos!E19</f>
        <v>5800</v>
      </c>
    </row>
    <row r="18" spans="1:2" x14ac:dyDescent="0.2">
      <c r="A18" t="s">
        <v>90</v>
      </c>
      <c r="B18">
        <f>Gastos!E20</f>
        <v>2900</v>
      </c>
    </row>
    <row r="19" spans="1:2" x14ac:dyDescent="0.2">
      <c r="A19" t="s">
        <v>91</v>
      </c>
      <c r="B19">
        <f>Gastos!E21</f>
        <v>2900</v>
      </c>
    </row>
    <row r="20" spans="1:2" x14ac:dyDescent="0.2">
      <c r="A20" t="s">
        <v>92</v>
      </c>
      <c r="B20">
        <f>Gastos!E22</f>
        <v>2900</v>
      </c>
    </row>
    <row r="21" spans="1:2" x14ac:dyDescent="0.2">
      <c r="A21" t="s">
        <v>127</v>
      </c>
      <c r="B21">
        <f>Gastos!E23</f>
        <v>3900</v>
      </c>
    </row>
    <row r="22" spans="1:2" x14ac:dyDescent="0.2">
      <c r="A22" t="s">
        <v>93</v>
      </c>
      <c r="B22">
        <f>Gastos!E24</f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Precios</vt:lpstr>
      <vt:lpstr>Gastos</vt:lpstr>
      <vt:lpstr>Ventas</vt:lpstr>
      <vt:lpstr>Ganancias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Cortez Molina</dc:creator>
  <cp:lastModifiedBy>Jose Luis Cortez Molina</cp:lastModifiedBy>
  <dcterms:created xsi:type="dcterms:W3CDTF">2026-03-14T21:35:31Z</dcterms:created>
  <dcterms:modified xsi:type="dcterms:W3CDTF">2026-03-17T22:05:43Z</dcterms:modified>
</cp:coreProperties>
</file>